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36b77b69596437/00_Projects/Project 2 - Excel Account Name Check/"/>
    </mc:Choice>
  </mc:AlternateContent>
  <xr:revisionPtr revIDLastSave="876" documentId="8_{EA9BE152-3454-45EE-84AB-A32DC94079AE}" xr6:coauthVersionLast="47" xr6:coauthVersionMax="47" xr10:uidLastSave="{ED67C558-9A32-4A27-9D8E-166A01090BE0}"/>
  <bookViews>
    <workbookView xWindow="-120" yWindow="-120" windowWidth="20730" windowHeight="11160" tabRatio="775" activeTab="2" xr2:uid="{00000000-000D-0000-FFFF-FFFF00000000}"/>
  </bookViews>
  <sheets>
    <sheet name="Guidelines" sheetId="4" r:id="rId1"/>
    <sheet name="Audit Description" sheetId="6" r:id="rId2"/>
    <sheet name="Dashboard" sheetId="7" r:id="rId3"/>
    <sheet name="Account_Profile_Audit" sheetId="1" r:id="rId4"/>
    <sheet name="Country Codes" sheetId="5" state="hidden" r:id="rId5"/>
  </sheets>
  <definedNames>
    <definedName name="_xlnm._FilterDatabase" localSheetId="3" hidden="1">Account_Profile_Audit!$A$2:$AQ$46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3" i="1" l="1"/>
  <c r="AU3" i="1"/>
  <c r="AT3" i="1"/>
  <c r="AS3" i="1"/>
  <c r="C2" i="7"/>
  <c r="AW3" i="1"/>
  <c r="AB3" i="1"/>
  <c r="R15" i="1"/>
  <c r="S15" i="1"/>
  <c r="T15" i="1"/>
  <c r="U15" i="1"/>
  <c r="V15" i="1"/>
  <c r="W15" i="1"/>
  <c r="X15" i="1" a="1"/>
  <c r="X15" i="1" s="1"/>
  <c r="Y15" i="1" a="1"/>
  <c r="Y15" i="1" s="1"/>
  <c r="Z15" i="1" a="1"/>
  <c r="Z15" i="1" s="1"/>
  <c r="AA15" i="1"/>
  <c r="AB15" i="1"/>
  <c r="AC15" i="1" a="1"/>
  <c r="AC15" i="1" s="1"/>
  <c r="AD15" i="1"/>
  <c r="AE15" i="1" a="1"/>
  <c r="AE15" i="1" s="1"/>
  <c r="AF15" i="1"/>
  <c r="AG15" i="1"/>
  <c r="AH15" i="1"/>
  <c r="AI15" i="1" a="1"/>
  <c r="AI15" i="1" s="1"/>
  <c r="R16" i="1"/>
  <c r="S16" i="1"/>
  <c r="T16" i="1"/>
  <c r="U16" i="1"/>
  <c r="V16" i="1"/>
  <c r="W16" i="1"/>
  <c r="X16" i="1" a="1"/>
  <c r="X16" i="1" s="1"/>
  <c r="Y16" i="1" a="1"/>
  <c r="Y16" i="1" s="1"/>
  <c r="Z16" i="1" a="1"/>
  <c r="Z16" i="1" s="1"/>
  <c r="AA16" i="1"/>
  <c r="AB16" i="1"/>
  <c r="AC16" i="1" a="1"/>
  <c r="AC16" i="1" s="1"/>
  <c r="AD16" i="1"/>
  <c r="AE16" i="1" a="1"/>
  <c r="AE16" i="1" s="1"/>
  <c r="AF16" i="1"/>
  <c r="AG16" i="1"/>
  <c r="AH16" i="1"/>
  <c r="AI16" i="1" a="1"/>
  <c r="AI16" i="1" s="1"/>
  <c r="R17" i="1"/>
  <c r="S17" i="1"/>
  <c r="T17" i="1"/>
  <c r="U17" i="1"/>
  <c r="V17" i="1"/>
  <c r="W17" i="1"/>
  <c r="X17" i="1" a="1"/>
  <c r="X17" i="1" s="1"/>
  <c r="Y17" i="1" a="1"/>
  <c r="Y17" i="1" s="1"/>
  <c r="Z17" i="1" a="1"/>
  <c r="Z17" i="1" s="1"/>
  <c r="AA17" i="1"/>
  <c r="AB17" i="1"/>
  <c r="AC17" i="1" a="1"/>
  <c r="AC17" i="1" s="1"/>
  <c r="AD17" i="1"/>
  <c r="AE17" i="1" a="1"/>
  <c r="AE17" i="1" s="1"/>
  <c r="AF17" i="1"/>
  <c r="AG17" i="1"/>
  <c r="AH17" i="1"/>
  <c r="AI17" i="1" a="1"/>
  <c r="AI17" i="1" s="1"/>
  <c r="R18" i="1"/>
  <c r="S18" i="1"/>
  <c r="T18" i="1"/>
  <c r="U18" i="1"/>
  <c r="V18" i="1"/>
  <c r="W18" i="1"/>
  <c r="X18" i="1" a="1"/>
  <c r="X18" i="1" s="1"/>
  <c r="Y18" i="1" a="1"/>
  <c r="Y18" i="1" s="1"/>
  <c r="Z18" i="1" a="1"/>
  <c r="Z18" i="1" s="1"/>
  <c r="AA18" i="1"/>
  <c r="AB18" i="1"/>
  <c r="AC18" i="1" a="1"/>
  <c r="AC18" i="1" s="1"/>
  <c r="AD18" i="1"/>
  <c r="AE18" i="1" a="1"/>
  <c r="AE18" i="1" s="1"/>
  <c r="AF18" i="1"/>
  <c r="AG18" i="1"/>
  <c r="AH18" i="1"/>
  <c r="AI18" i="1" a="1"/>
  <c r="AI18" i="1" s="1"/>
  <c r="R19" i="1"/>
  <c r="S19" i="1"/>
  <c r="T19" i="1"/>
  <c r="U19" i="1"/>
  <c r="V19" i="1"/>
  <c r="W19" i="1"/>
  <c r="X19" i="1" a="1"/>
  <c r="X19" i="1" s="1"/>
  <c r="Y19" i="1" a="1"/>
  <c r="Y19" i="1" s="1"/>
  <c r="Z19" i="1" a="1"/>
  <c r="Z19" i="1" s="1"/>
  <c r="AA19" i="1"/>
  <c r="AB19" i="1"/>
  <c r="AC19" i="1" a="1"/>
  <c r="AC19" i="1" s="1"/>
  <c r="AD19" i="1"/>
  <c r="AE19" i="1" a="1"/>
  <c r="AE19" i="1" s="1"/>
  <c r="AF19" i="1"/>
  <c r="AG19" i="1"/>
  <c r="AH19" i="1"/>
  <c r="AI19" i="1" a="1"/>
  <c r="AI19" i="1" s="1"/>
  <c r="R20" i="1"/>
  <c r="S20" i="1"/>
  <c r="T20" i="1"/>
  <c r="U20" i="1"/>
  <c r="V20" i="1"/>
  <c r="W20" i="1"/>
  <c r="X20" i="1" a="1"/>
  <c r="X20" i="1" s="1"/>
  <c r="Y20" i="1" a="1"/>
  <c r="Y20" i="1" s="1"/>
  <c r="Z20" i="1" a="1"/>
  <c r="Z20" i="1" s="1"/>
  <c r="AA20" i="1"/>
  <c r="AB20" i="1"/>
  <c r="AC20" i="1" a="1"/>
  <c r="AC20" i="1" s="1"/>
  <c r="AD20" i="1"/>
  <c r="AE20" i="1" a="1"/>
  <c r="AE20" i="1" s="1"/>
  <c r="AF20" i="1"/>
  <c r="AG20" i="1"/>
  <c r="AH20" i="1"/>
  <c r="AI20" i="1" a="1"/>
  <c r="AI20" i="1" s="1"/>
  <c r="R21" i="1"/>
  <c r="S21" i="1"/>
  <c r="T21" i="1"/>
  <c r="U21" i="1"/>
  <c r="V21" i="1"/>
  <c r="W21" i="1"/>
  <c r="X21" i="1" a="1"/>
  <c r="X21" i="1" s="1"/>
  <c r="Y21" i="1" a="1"/>
  <c r="Y21" i="1" s="1"/>
  <c r="Z21" i="1" a="1"/>
  <c r="Z21" i="1" s="1"/>
  <c r="AA21" i="1"/>
  <c r="AB21" i="1"/>
  <c r="AC21" i="1" a="1"/>
  <c r="AC21" i="1" s="1"/>
  <c r="AD21" i="1"/>
  <c r="AE21" i="1" a="1"/>
  <c r="AE21" i="1" s="1"/>
  <c r="AF21" i="1"/>
  <c r="AG21" i="1"/>
  <c r="AH21" i="1"/>
  <c r="AI21" i="1" a="1"/>
  <c r="AI21" i="1" s="1"/>
  <c r="R22" i="1"/>
  <c r="S22" i="1"/>
  <c r="T22" i="1"/>
  <c r="U22" i="1"/>
  <c r="V22" i="1"/>
  <c r="W22" i="1"/>
  <c r="X22" i="1" a="1"/>
  <c r="X22" i="1" s="1"/>
  <c r="Y22" i="1" a="1"/>
  <c r="Y22" i="1" s="1"/>
  <c r="Z22" i="1" a="1"/>
  <c r="Z22" i="1" s="1"/>
  <c r="AA22" i="1"/>
  <c r="AB22" i="1"/>
  <c r="AC22" i="1" a="1"/>
  <c r="AC22" i="1" s="1"/>
  <c r="AD22" i="1"/>
  <c r="AE22" i="1" a="1"/>
  <c r="AE22" i="1" s="1"/>
  <c r="AF22" i="1"/>
  <c r="AG22" i="1"/>
  <c r="AH22" i="1"/>
  <c r="AI22" i="1" a="1"/>
  <c r="AI22" i="1" s="1"/>
  <c r="R23" i="1"/>
  <c r="S23" i="1"/>
  <c r="T23" i="1"/>
  <c r="U23" i="1"/>
  <c r="V23" i="1"/>
  <c r="W23" i="1"/>
  <c r="X23" i="1" a="1"/>
  <c r="X23" i="1" s="1"/>
  <c r="Y23" i="1" a="1"/>
  <c r="Y23" i="1" s="1"/>
  <c r="Z23" i="1" a="1"/>
  <c r="Z23" i="1" s="1"/>
  <c r="AA23" i="1"/>
  <c r="AB23" i="1"/>
  <c r="AC23" i="1" a="1"/>
  <c r="AC23" i="1" s="1"/>
  <c r="AD23" i="1"/>
  <c r="AE23" i="1" a="1"/>
  <c r="AE23" i="1" s="1"/>
  <c r="AF23" i="1"/>
  <c r="AG23" i="1"/>
  <c r="AH23" i="1"/>
  <c r="AI23" i="1" a="1"/>
  <c r="AI23" i="1" s="1"/>
  <c r="R24" i="1"/>
  <c r="S24" i="1"/>
  <c r="T24" i="1"/>
  <c r="U24" i="1"/>
  <c r="V24" i="1"/>
  <c r="W24" i="1"/>
  <c r="X24" i="1" a="1"/>
  <c r="X24" i="1" s="1"/>
  <c r="Y24" i="1" a="1"/>
  <c r="Y24" i="1" s="1"/>
  <c r="Z24" i="1" a="1"/>
  <c r="Z24" i="1" s="1"/>
  <c r="AA24" i="1"/>
  <c r="AB24" i="1"/>
  <c r="AC24" i="1" a="1"/>
  <c r="AC24" i="1" s="1"/>
  <c r="AD24" i="1"/>
  <c r="AE24" i="1" a="1"/>
  <c r="AE24" i="1" s="1"/>
  <c r="AF24" i="1"/>
  <c r="AG24" i="1"/>
  <c r="AH24" i="1"/>
  <c r="AI24" i="1" a="1"/>
  <c r="AI24" i="1" s="1"/>
  <c r="R25" i="1"/>
  <c r="S25" i="1"/>
  <c r="T25" i="1"/>
  <c r="U25" i="1"/>
  <c r="V25" i="1"/>
  <c r="W25" i="1"/>
  <c r="X25" i="1" a="1"/>
  <c r="X25" i="1" s="1"/>
  <c r="Y25" i="1" a="1"/>
  <c r="Y25" i="1" s="1"/>
  <c r="Z25" i="1" a="1"/>
  <c r="Z25" i="1" s="1"/>
  <c r="AA25" i="1"/>
  <c r="AB25" i="1"/>
  <c r="AC25" i="1" a="1"/>
  <c r="AC25" i="1" s="1"/>
  <c r="AD25" i="1"/>
  <c r="AE25" i="1" a="1"/>
  <c r="AE25" i="1" s="1"/>
  <c r="AF25" i="1"/>
  <c r="AG25" i="1"/>
  <c r="AH25" i="1"/>
  <c r="AI25" i="1" a="1"/>
  <c r="AI25" i="1" s="1"/>
  <c r="R26" i="1"/>
  <c r="S26" i="1"/>
  <c r="T26" i="1"/>
  <c r="U26" i="1"/>
  <c r="V26" i="1"/>
  <c r="W26" i="1"/>
  <c r="X26" i="1" a="1"/>
  <c r="X26" i="1" s="1"/>
  <c r="Y26" i="1" a="1"/>
  <c r="Y26" i="1" s="1"/>
  <c r="Z26" i="1" a="1"/>
  <c r="Z26" i="1" s="1"/>
  <c r="AA26" i="1"/>
  <c r="AB26" i="1"/>
  <c r="AC26" i="1" a="1"/>
  <c r="AC26" i="1" s="1"/>
  <c r="AD26" i="1"/>
  <c r="AE26" i="1" a="1"/>
  <c r="AE26" i="1" s="1"/>
  <c r="AF26" i="1"/>
  <c r="AG26" i="1"/>
  <c r="AH26" i="1"/>
  <c r="AI26" i="1" a="1"/>
  <c r="AI26" i="1" s="1"/>
  <c r="R27" i="1"/>
  <c r="S27" i="1"/>
  <c r="T27" i="1"/>
  <c r="U27" i="1"/>
  <c r="V27" i="1"/>
  <c r="W27" i="1"/>
  <c r="X27" i="1" a="1"/>
  <c r="X27" i="1" s="1"/>
  <c r="Y27" i="1" a="1"/>
  <c r="Y27" i="1" s="1"/>
  <c r="Z27" i="1" a="1"/>
  <c r="Z27" i="1" s="1"/>
  <c r="AA27" i="1"/>
  <c r="AB27" i="1"/>
  <c r="AC27" i="1" a="1"/>
  <c r="AC27" i="1" s="1"/>
  <c r="AD27" i="1"/>
  <c r="AE27" i="1" a="1"/>
  <c r="AE27" i="1" s="1"/>
  <c r="AF27" i="1"/>
  <c r="AG27" i="1"/>
  <c r="AH27" i="1"/>
  <c r="AI27" i="1" a="1"/>
  <c r="AI27" i="1" s="1"/>
  <c r="R28" i="1"/>
  <c r="S28" i="1"/>
  <c r="T28" i="1"/>
  <c r="U28" i="1"/>
  <c r="V28" i="1"/>
  <c r="W28" i="1"/>
  <c r="X28" i="1" a="1"/>
  <c r="X28" i="1" s="1"/>
  <c r="Y28" i="1" a="1"/>
  <c r="Y28" i="1" s="1"/>
  <c r="Z28" i="1" a="1"/>
  <c r="Z28" i="1" s="1"/>
  <c r="AA28" i="1"/>
  <c r="AB28" i="1"/>
  <c r="AC28" i="1" a="1"/>
  <c r="AC28" i="1" s="1"/>
  <c r="AD28" i="1"/>
  <c r="AE28" i="1" a="1"/>
  <c r="AE28" i="1" s="1"/>
  <c r="AF28" i="1"/>
  <c r="AG28" i="1"/>
  <c r="AH28" i="1"/>
  <c r="AI28" i="1" a="1"/>
  <c r="AI28" i="1" s="1"/>
  <c r="R29" i="1"/>
  <c r="S29" i="1"/>
  <c r="T29" i="1"/>
  <c r="U29" i="1"/>
  <c r="V29" i="1"/>
  <c r="W29" i="1"/>
  <c r="X29" i="1" a="1"/>
  <c r="X29" i="1" s="1"/>
  <c r="Y29" i="1" a="1"/>
  <c r="Y29" i="1" s="1"/>
  <c r="Z29" i="1" a="1"/>
  <c r="Z29" i="1" s="1"/>
  <c r="AA29" i="1"/>
  <c r="AB29" i="1"/>
  <c r="AC29" i="1" a="1"/>
  <c r="AC29" i="1" s="1"/>
  <c r="AD29" i="1"/>
  <c r="AE29" i="1" a="1"/>
  <c r="AE29" i="1" s="1"/>
  <c r="AF29" i="1"/>
  <c r="AG29" i="1"/>
  <c r="AH29" i="1"/>
  <c r="AI29" i="1" a="1"/>
  <c r="AI29" i="1" s="1"/>
  <c r="R30" i="1"/>
  <c r="S30" i="1"/>
  <c r="T30" i="1"/>
  <c r="U30" i="1"/>
  <c r="V30" i="1"/>
  <c r="W30" i="1"/>
  <c r="X30" i="1" a="1"/>
  <c r="X30" i="1" s="1"/>
  <c r="Y30" i="1" a="1"/>
  <c r="Y30" i="1" s="1"/>
  <c r="Z30" i="1" a="1"/>
  <c r="Z30" i="1" s="1"/>
  <c r="AA30" i="1"/>
  <c r="AB30" i="1"/>
  <c r="AC30" i="1" a="1"/>
  <c r="AC30" i="1" s="1"/>
  <c r="AD30" i="1"/>
  <c r="AE30" i="1" a="1"/>
  <c r="AE30" i="1" s="1"/>
  <c r="AF30" i="1"/>
  <c r="AG30" i="1"/>
  <c r="AH30" i="1"/>
  <c r="AI30" i="1" a="1"/>
  <c r="AI30" i="1" s="1"/>
  <c r="R31" i="1"/>
  <c r="S31" i="1"/>
  <c r="T31" i="1"/>
  <c r="U31" i="1"/>
  <c r="V31" i="1"/>
  <c r="W31" i="1"/>
  <c r="X31" i="1" a="1"/>
  <c r="X31" i="1" s="1"/>
  <c r="Y31" i="1" a="1"/>
  <c r="Y31" i="1" s="1"/>
  <c r="Z31" i="1" a="1"/>
  <c r="Z31" i="1" s="1"/>
  <c r="AA31" i="1"/>
  <c r="AB31" i="1"/>
  <c r="AC31" i="1" a="1"/>
  <c r="AC31" i="1" s="1"/>
  <c r="AD31" i="1"/>
  <c r="AE31" i="1" a="1"/>
  <c r="AE31" i="1" s="1"/>
  <c r="AF31" i="1"/>
  <c r="AG31" i="1"/>
  <c r="AH31" i="1"/>
  <c r="AI31" i="1" a="1"/>
  <c r="AI31" i="1" s="1"/>
  <c r="R32" i="1"/>
  <c r="S32" i="1"/>
  <c r="T32" i="1"/>
  <c r="U32" i="1"/>
  <c r="V32" i="1"/>
  <c r="W32" i="1"/>
  <c r="X32" i="1" a="1"/>
  <c r="X32" i="1" s="1"/>
  <c r="Y32" i="1" a="1"/>
  <c r="Y32" i="1" s="1"/>
  <c r="Z32" i="1" a="1"/>
  <c r="Z32" i="1" s="1"/>
  <c r="AA32" i="1"/>
  <c r="AB32" i="1"/>
  <c r="AC32" i="1" a="1"/>
  <c r="AC32" i="1" s="1"/>
  <c r="AD32" i="1"/>
  <c r="AE32" i="1" a="1"/>
  <c r="AE32" i="1" s="1"/>
  <c r="AF32" i="1"/>
  <c r="AG32" i="1"/>
  <c r="AH32" i="1"/>
  <c r="AI32" i="1" a="1"/>
  <c r="AI32" i="1" s="1"/>
  <c r="R33" i="1"/>
  <c r="S33" i="1"/>
  <c r="T33" i="1"/>
  <c r="U33" i="1"/>
  <c r="V33" i="1"/>
  <c r="W33" i="1"/>
  <c r="X33" i="1" a="1"/>
  <c r="X33" i="1" s="1"/>
  <c r="Y33" i="1" a="1"/>
  <c r="Y33" i="1" s="1"/>
  <c r="Z33" i="1" a="1"/>
  <c r="Z33" i="1" s="1"/>
  <c r="AA33" i="1"/>
  <c r="AB33" i="1"/>
  <c r="AC33" i="1" a="1"/>
  <c r="AC33" i="1" s="1"/>
  <c r="AD33" i="1"/>
  <c r="AE33" i="1" a="1"/>
  <c r="AE33" i="1" s="1"/>
  <c r="AF33" i="1"/>
  <c r="AG33" i="1"/>
  <c r="AH33" i="1"/>
  <c r="AI33" i="1" a="1"/>
  <c r="AI33" i="1" s="1"/>
  <c r="R34" i="1"/>
  <c r="S34" i="1"/>
  <c r="T34" i="1"/>
  <c r="U34" i="1"/>
  <c r="V34" i="1"/>
  <c r="W34" i="1"/>
  <c r="X34" i="1" a="1"/>
  <c r="X34" i="1" s="1"/>
  <c r="Y34" i="1" a="1"/>
  <c r="Y34" i="1" s="1"/>
  <c r="Z34" i="1" a="1"/>
  <c r="Z34" i="1" s="1"/>
  <c r="AA34" i="1"/>
  <c r="AB34" i="1"/>
  <c r="AC34" i="1" a="1"/>
  <c r="AC34" i="1" s="1"/>
  <c r="AD34" i="1"/>
  <c r="AE34" i="1" a="1"/>
  <c r="AE34" i="1" s="1"/>
  <c r="AF34" i="1"/>
  <c r="AG34" i="1"/>
  <c r="AH34" i="1"/>
  <c r="AI34" i="1" a="1"/>
  <c r="AI34" i="1" s="1"/>
  <c r="R35" i="1"/>
  <c r="S35" i="1"/>
  <c r="T35" i="1"/>
  <c r="U35" i="1"/>
  <c r="V35" i="1"/>
  <c r="W35" i="1"/>
  <c r="X35" i="1" a="1"/>
  <c r="X35" i="1" s="1"/>
  <c r="Y35" i="1" a="1"/>
  <c r="Y35" i="1" s="1"/>
  <c r="Z35" i="1" a="1"/>
  <c r="Z35" i="1" s="1"/>
  <c r="AA35" i="1"/>
  <c r="AB35" i="1"/>
  <c r="AC35" i="1" a="1"/>
  <c r="AC35" i="1" s="1"/>
  <c r="AD35" i="1"/>
  <c r="AE35" i="1" a="1"/>
  <c r="AE35" i="1" s="1"/>
  <c r="AF35" i="1"/>
  <c r="AG35" i="1"/>
  <c r="AH35" i="1"/>
  <c r="AI35" i="1" a="1"/>
  <c r="AI35" i="1" s="1"/>
  <c r="R36" i="1"/>
  <c r="S36" i="1"/>
  <c r="T36" i="1"/>
  <c r="U36" i="1"/>
  <c r="V36" i="1"/>
  <c r="W36" i="1"/>
  <c r="X36" i="1" a="1"/>
  <c r="X36" i="1" s="1"/>
  <c r="Y36" i="1" a="1"/>
  <c r="Y36" i="1" s="1"/>
  <c r="Z36" i="1" a="1"/>
  <c r="Z36" i="1" s="1"/>
  <c r="AA36" i="1"/>
  <c r="AB36" i="1"/>
  <c r="AC36" i="1" a="1"/>
  <c r="AC36" i="1" s="1"/>
  <c r="AD36" i="1"/>
  <c r="AE36" i="1" a="1"/>
  <c r="AE36" i="1" s="1"/>
  <c r="AF36" i="1"/>
  <c r="AG36" i="1"/>
  <c r="AH36" i="1"/>
  <c r="AI36" i="1" a="1"/>
  <c r="AI36" i="1" s="1"/>
  <c r="R37" i="1"/>
  <c r="S37" i="1"/>
  <c r="T37" i="1"/>
  <c r="U37" i="1"/>
  <c r="V37" i="1"/>
  <c r="W37" i="1"/>
  <c r="X37" i="1" a="1"/>
  <c r="X37" i="1" s="1"/>
  <c r="Y37" i="1" a="1"/>
  <c r="Y37" i="1" s="1"/>
  <c r="Z37" i="1" a="1"/>
  <c r="Z37" i="1" s="1"/>
  <c r="AA37" i="1"/>
  <c r="AB37" i="1"/>
  <c r="AC37" i="1" a="1"/>
  <c r="AC37" i="1" s="1"/>
  <c r="AD37" i="1"/>
  <c r="AE37" i="1" a="1"/>
  <c r="AE37" i="1" s="1"/>
  <c r="AF37" i="1"/>
  <c r="AG37" i="1"/>
  <c r="AH37" i="1"/>
  <c r="AI37" i="1" a="1"/>
  <c r="AI37" i="1" s="1"/>
  <c r="R38" i="1"/>
  <c r="S38" i="1"/>
  <c r="T38" i="1"/>
  <c r="U38" i="1"/>
  <c r="V38" i="1"/>
  <c r="W38" i="1"/>
  <c r="X38" i="1" a="1"/>
  <c r="X38" i="1" s="1"/>
  <c r="Y38" i="1" a="1"/>
  <c r="Y38" i="1" s="1"/>
  <c r="Z38" i="1" a="1"/>
  <c r="Z38" i="1" s="1"/>
  <c r="AA38" i="1"/>
  <c r="AB38" i="1"/>
  <c r="AC38" i="1" a="1"/>
  <c r="AC38" i="1" s="1"/>
  <c r="AD38" i="1"/>
  <c r="AE38" i="1" a="1"/>
  <c r="AE38" i="1" s="1"/>
  <c r="AF38" i="1"/>
  <c r="AG38" i="1"/>
  <c r="AH38" i="1"/>
  <c r="AI38" i="1" a="1"/>
  <c r="AI38" i="1" s="1"/>
  <c r="R39" i="1"/>
  <c r="S39" i="1"/>
  <c r="T39" i="1"/>
  <c r="U39" i="1"/>
  <c r="V39" i="1"/>
  <c r="W39" i="1"/>
  <c r="X39" i="1" a="1"/>
  <c r="X39" i="1" s="1"/>
  <c r="Y39" i="1" a="1"/>
  <c r="Y39" i="1" s="1"/>
  <c r="Z39" i="1" a="1"/>
  <c r="Z39" i="1" s="1"/>
  <c r="AA39" i="1"/>
  <c r="AB39" i="1"/>
  <c r="AC39" i="1" a="1"/>
  <c r="AC39" i="1" s="1"/>
  <c r="AD39" i="1"/>
  <c r="AE39" i="1" a="1"/>
  <c r="AE39" i="1" s="1"/>
  <c r="AF39" i="1"/>
  <c r="AG39" i="1"/>
  <c r="AH39" i="1"/>
  <c r="AI39" i="1" a="1"/>
  <c r="AI39" i="1" s="1"/>
  <c r="R40" i="1"/>
  <c r="S40" i="1"/>
  <c r="T40" i="1"/>
  <c r="U40" i="1"/>
  <c r="V40" i="1"/>
  <c r="W40" i="1"/>
  <c r="X40" i="1" a="1"/>
  <c r="X40" i="1" s="1"/>
  <c r="Y40" i="1" a="1"/>
  <c r="Y40" i="1" s="1"/>
  <c r="Z40" i="1" a="1"/>
  <c r="Z40" i="1" s="1"/>
  <c r="AA40" i="1"/>
  <c r="AB40" i="1"/>
  <c r="AC40" i="1" a="1"/>
  <c r="AC40" i="1" s="1"/>
  <c r="AD40" i="1"/>
  <c r="AE40" i="1" a="1"/>
  <c r="AE40" i="1" s="1"/>
  <c r="AF40" i="1"/>
  <c r="AG40" i="1"/>
  <c r="AH40" i="1"/>
  <c r="AI40" i="1" a="1"/>
  <c r="AI40" i="1" s="1"/>
  <c r="R41" i="1"/>
  <c r="S41" i="1"/>
  <c r="T41" i="1"/>
  <c r="U41" i="1"/>
  <c r="V41" i="1"/>
  <c r="W41" i="1"/>
  <c r="X41" i="1" a="1"/>
  <c r="X41" i="1" s="1"/>
  <c r="Y41" i="1" a="1"/>
  <c r="Y41" i="1" s="1"/>
  <c r="Z41" i="1" a="1"/>
  <c r="Z41" i="1" s="1"/>
  <c r="AA41" i="1"/>
  <c r="AB41" i="1"/>
  <c r="AC41" i="1" a="1"/>
  <c r="AC41" i="1" s="1"/>
  <c r="AD41" i="1"/>
  <c r="AE41" i="1" a="1"/>
  <c r="AE41" i="1" s="1"/>
  <c r="AF41" i="1"/>
  <c r="AG41" i="1"/>
  <c r="AH41" i="1"/>
  <c r="AI41" i="1" a="1"/>
  <c r="AI41" i="1" s="1"/>
  <c r="R42" i="1"/>
  <c r="S42" i="1"/>
  <c r="T42" i="1"/>
  <c r="U42" i="1"/>
  <c r="V42" i="1"/>
  <c r="W42" i="1"/>
  <c r="X42" i="1" a="1"/>
  <c r="X42" i="1" s="1"/>
  <c r="Y42" i="1" a="1"/>
  <c r="Y42" i="1" s="1"/>
  <c r="Z42" i="1" a="1"/>
  <c r="Z42" i="1" s="1"/>
  <c r="AA42" i="1"/>
  <c r="AB42" i="1"/>
  <c r="AC42" i="1" a="1"/>
  <c r="AC42" i="1" s="1"/>
  <c r="AD42" i="1"/>
  <c r="AE42" i="1" a="1"/>
  <c r="AE42" i="1" s="1"/>
  <c r="AF42" i="1"/>
  <c r="AG42" i="1"/>
  <c r="AH42" i="1"/>
  <c r="AI42" i="1" a="1"/>
  <c r="AI42" i="1" s="1"/>
  <c r="R43" i="1"/>
  <c r="S43" i="1"/>
  <c r="T43" i="1"/>
  <c r="U43" i="1"/>
  <c r="V43" i="1"/>
  <c r="W43" i="1"/>
  <c r="X43" i="1" a="1"/>
  <c r="X43" i="1" s="1"/>
  <c r="Y43" i="1" a="1"/>
  <c r="Y43" i="1" s="1"/>
  <c r="Z43" i="1" a="1"/>
  <c r="Z43" i="1" s="1"/>
  <c r="AA43" i="1"/>
  <c r="AB43" i="1"/>
  <c r="AC43" i="1" a="1"/>
  <c r="AC43" i="1" s="1"/>
  <c r="AD43" i="1"/>
  <c r="AE43" i="1" a="1"/>
  <c r="AE43" i="1" s="1"/>
  <c r="AF43" i="1"/>
  <c r="AG43" i="1"/>
  <c r="AH43" i="1"/>
  <c r="AI43" i="1" a="1"/>
  <c r="AI43" i="1" s="1"/>
  <c r="R44" i="1"/>
  <c r="S44" i="1"/>
  <c r="T44" i="1"/>
  <c r="U44" i="1"/>
  <c r="V44" i="1"/>
  <c r="W44" i="1"/>
  <c r="X44" i="1" a="1"/>
  <c r="X44" i="1" s="1"/>
  <c r="Y44" i="1" a="1"/>
  <c r="Y44" i="1" s="1"/>
  <c r="Z44" i="1" a="1"/>
  <c r="Z44" i="1" s="1"/>
  <c r="AA44" i="1"/>
  <c r="AB44" i="1"/>
  <c r="AC44" i="1" a="1"/>
  <c r="AC44" i="1" s="1"/>
  <c r="AD44" i="1"/>
  <c r="AE44" i="1" a="1"/>
  <c r="AE44" i="1" s="1"/>
  <c r="AF44" i="1"/>
  <c r="AG44" i="1"/>
  <c r="AH44" i="1"/>
  <c r="AI44" i="1" a="1"/>
  <c r="AI44" i="1" s="1"/>
  <c r="R45" i="1"/>
  <c r="S45" i="1"/>
  <c r="T45" i="1"/>
  <c r="U45" i="1"/>
  <c r="V45" i="1"/>
  <c r="W45" i="1"/>
  <c r="X45" i="1" a="1"/>
  <c r="X45" i="1" s="1"/>
  <c r="Y45" i="1" a="1"/>
  <c r="Y45" i="1" s="1"/>
  <c r="Z45" i="1" a="1"/>
  <c r="Z45" i="1" s="1"/>
  <c r="AA45" i="1"/>
  <c r="AB45" i="1"/>
  <c r="AC45" i="1" a="1"/>
  <c r="AC45" i="1" s="1"/>
  <c r="AD45" i="1"/>
  <c r="AE45" i="1" a="1"/>
  <c r="AE45" i="1" s="1"/>
  <c r="AF45" i="1"/>
  <c r="AG45" i="1"/>
  <c r="AH45" i="1"/>
  <c r="AI45" i="1" a="1"/>
  <c r="AI45" i="1" s="1"/>
  <c r="R46" i="1"/>
  <c r="S46" i="1"/>
  <c r="T46" i="1"/>
  <c r="U46" i="1"/>
  <c r="V46" i="1"/>
  <c r="W46" i="1"/>
  <c r="X46" i="1" a="1"/>
  <c r="X46" i="1" s="1"/>
  <c r="Y46" i="1" a="1"/>
  <c r="Y46" i="1" s="1"/>
  <c r="AP46" i="1" s="1"/>
  <c r="Z46" i="1" a="1"/>
  <c r="Z46" i="1" s="1"/>
  <c r="AA46" i="1"/>
  <c r="AB46" i="1"/>
  <c r="AC46" i="1" a="1"/>
  <c r="AC46" i="1" s="1"/>
  <c r="AD46" i="1"/>
  <c r="AE46" i="1" a="1"/>
  <c r="AE46" i="1" s="1"/>
  <c r="AF46" i="1"/>
  <c r="AG46" i="1"/>
  <c r="AH46" i="1"/>
  <c r="AI46" i="1" a="1"/>
  <c r="AI46" i="1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Z4" i="1" a="1"/>
  <c r="Z4" i="1" s="1"/>
  <c r="Z5" i="1" a="1"/>
  <c r="Z5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3" i="1" a="1"/>
  <c r="Z3" i="1" s="1"/>
  <c r="R4" i="1"/>
  <c r="S4" i="1"/>
  <c r="T4" i="1"/>
  <c r="U4" i="1"/>
  <c r="V4" i="1"/>
  <c r="W4" i="1"/>
  <c r="AN4" i="1" s="1"/>
  <c r="X4" i="1" a="1"/>
  <c r="X4" i="1" s="1"/>
  <c r="Y4" i="1" a="1"/>
  <c r="Y4" i="1" s="1"/>
  <c r="AA4" i="1"/>
  <c r="AB4" i="1"/>
  <c r="AC4" i="1" a="1"/>
  <c r="AC4" i="1" s="1"/>
  <c r="AD4" i="1"/>
  <c r="AE4" i="1" a="1"/>
  <c r="AE4" i="1" s="1"/>
  <c r="AF4" i="1"/>
  <c r="AG4" i="1"/>
  <c r="AH4" i="1"/>
  <c r="AI4" i="1" a="1"/>
  <c r="AI4" i="1" s="1"/>
  <c r="R5" i="1"/>
  <c r="S5" i="1"/>
  <c r="T5" i="1"/>
  <c r="U5" i="1"/>
  <c r="V5" i="1"/>
  <c r="W5" i="1"/>
  <c r="X5" i="1" a="1"/>
  <c r="X5" i="1" s="1"/>
  <c r="Y5" i="1" a="1"/>
  <c r="Y5" i="1" s="1"/>
  <c r="AA5" i="1"/>
  <c r="AB5" i="1"/>
  <c r="AC5" i="1" a="1"/>
  <c r="AC5" i="1" s="1"/>
  <c r="AD5" i="1"/>
  <c r="AE5" i="1" a="1"/>
  <c r="AE5" i="1" s="1"/>
  <c r="AF5" i="1"/>
  <c r="AG5" i="1"/>
  <c r="AH5" i="1"/>
  <c r="AI5" i="1" a="1"/>
  <c r="AI5" i="1" s="1"/>
  <c r="R6" i="1"/>
  <c r="S6" i="1"/>
  <c r="T6" i="1"/>
  <c r="U6" i="1"/>
  <c r="V6" i="1"/>
  <c r="W6" i="1"/>
  <c r="AN6" i="1" s="1"/>
  <c r="X6" i="1" a="1"/>
  <c r="X6" i="1" s="1"/>
  <c r="Y6" i="1" a="1"/>
  <c r="Y6" i="1" s="1"/>
  <c r="AA6" i="1"/>
  <c r="AB6" i="1"/>
  <c r="AC6" i="1" a="1"/>
  <c r="AC6" i="1" s="1"/>
  <c r="AD6" i="1"/>
  <c r="AE6" i="1" a="1"/>
  <c r="AE6" i="1" s="1"/>
  <c r="AF6" i="1"/>
  <c r="AG6" i="1"/>
  <c r="AH6" i="1"/>
  <c r="AI6" i="1" a="1"/>
  <c r="AI6" i="1" s="1"/>
  <c r="R7" i="1"/>
  <c r="S7" i="1"/>
  <c r="T7" i="1"/>
  <c r="U7" i="1"/>
  <c r="V7" i="1"/>
  <c r="W7" i="1"/>
  <c r="X7" i="1" a="1"/>
  <c r="X7" i="1" s="1"/>
  <c r="AP7" i="1" s="1"/>
  <c r="Y7" i="1" a="1"/>
  <c r="Y7" i="1" s="1"/>
  <c r="AA7" i="1"/>
  <c r="AB7" i="1"/>
  <c r="AC7" i="1" a="1"/>
  <c r="AC7" i="1" s="1"/>
  <c r="AD7" i="1"/>
  <c r="AE7" i="1" a="1"/>
  <c r="AE7" i="1" s="1"/>
  <c r="AF7" i="1"/>
  <c r="AG7" i="1"/>
  <c r="AH7" i="1"/>
  <c r="AI7" i="1" a="1"/>
  <c r="AI7" i="1" s="1"/>
  <c r="R8" i="1"/>
  <c r="S8" i="1"/>
  <c r="T8" i="1"/>
  <c r="U8" i="1"/>
  <c r="V8" i="1"/>
  <c r="W8" i="1"/>
  <c r="AN8" i="1" s="1"/>
  <c r="X8" i="1" a="1"/>
  <c r="X8" i="1" s="1"/>
  <c r="Y8" i="1" a="1"/>
  <c r="Y8" i="1" s="1"/>
  <c r="AA8" i="1"/>
  <c r="AB8" i="1"/>
  <c r="AC8" i="1" a="1"/>
  <c r="AC8" i="1" s="1"/>
  <c r="AD8" i="1"/>
  <c r="AE8" i="1" a="1"/>
  <c r="AE8" i="1" s="1"/>
  <c r="AF8" i="1"/>
  <c r="AG8" i="1"/>
  <c r="AH8" i="1"/>
  <c r="AI8" i="1" a="1"/>
  <c r="AI8" i="1" s="1"/>
  <c r="R9" i="1"/>
  <c r="S9" i="1"/>
  <c r="T9" i="1"/>
  <c r="U9" i="1"/>
  <c r="V9" i="1"/>
  <c r="W9" i="1"/>
  <c r="X9" i="1" a="1"/>
  <c r="X9" i="1" s="1"/>
  <c r="Y9" i="1" a="1"/>
  <c r="Y9" i="1" s="1"/>
  <c r="AA9" i="1"/>
  <c r="AB9" i="1"/>
  <c r="AC9" i="1" a="1"/>
  <c r="AC9" i="1" s="1"/>
  <c r="AD9" i="1"/>
  <c r="AE9" i="1" a="1"/>
  <c r="AE9" i="1" s="1"/>
  <c r="AF9" i="1"/>
  <c r="AG9" i="1"/>
  <c r="AH9" i="1"/>
  <c r="AI9" i="1" a="1"/>
  <c r="AI9" i="1" s="1"/>
  <c r="R10" i="1"/>
  <c r="S10" i="1"/>
  <c r="T10" i="1"/>
  <c r="U10" i="1"/>
  <c r="V10" i="1"/>
  <c r="W10" i="1"/>
  <c r="AN10" i="1" s="1"/>
  <c r="X10" i="1" a="1"/>
  <c r="X10" i="1" s="1"/>
  <c r="Y10" i="1" a="1"/>
  <c r="Y10" i="1" s="1"/>
  <c r="AA10" i="1"/>
  <c r="AB10" i="1"/>
  <c r="AC10" i="1" a="1"/>
  <c r="AC10" i="1" s="1"/>
  <c r="AD10" i="1"/>
  <c r="AE10" i="1" a="1"/>
  <c r="AE10" i="1" s="1"/>
  <c r="AF10" i="1"/>
  <c r="AG10" i="1"/>
  <c r="AH10" i="1"/>
  <c r="AI10" i="1" a="1"/>
  <c r="AI10" i="1" s="1"/>
  <c r="R11" i="1"/>
  <c r="S11" i="1"/>
  <c r="T11" i="1"/>
  <c r="U11" i="1"/>
  <c r="V11" i="1"/>
  <c r="W11" i="1"/>
  <c r="X11" i="1" a="1"/>
  <c r="X11" i="1" s="1"/>
  <c r="AP11" i="1" s="1"/>
  <c r="Y11" i="1" a="1"/>
  <c r="Y11" i="1" s="1"/>
  <c r="AA11" i="1"/>
  <c r="AB11" i="1"/>
  <c r="AC11" i="1" a="1"/>
  <c r="AC11" i="1" s="1"/>
  <c r="AD11" i="1"/>
  <c r="AE11" i="1" a="1"/>
  <c r="AE11" i="1" s="1"/>
  <c r="AF11" i="1"/>
  <c r="AG11" i="1"/>
  <c r="AH11" i="1"/>
  <c r="AI11" i="1" a="1"/>
  <c r="AI11" i="1" s="1"/>
  <c r="R12" i="1"/>
  <c r="S12" i="1"/>
  <c r="T12" i="1"/>
  <c r="U12" i="1"/>
  <c r="V12" i="1"/>
  <c r="W12" i="1"/>
  <c r="AN12" i="1" s="1"/>
  <c r="X12" i="1" a="1"/>
  <c r="X12" i="1" s="1"/>
  <c r="Y12" i="1" a="1"/>
  <c r="Y12" i="1" s="1"/>
  <c r="AA12" i="1"/>
  <c r="AB12" i="1"/>
  <c r="AC12" i="1" a="1"/>
  <c r="AC12" i="1" s="1"/>
  <c r="AD12" i="1"/>
  <c r="AE12" i="1" a="1"/>
  <c r="AE12" i="1" s="1"/>
  <c r="AF12" i="1"/>
  <c r="AG12" i="1"/>
  <c r="AH12" i="1"/>
  <c r="AI12" i="1" a="1"/>
  <c r="AI12" i="1" s="1"/>
  <c r="R13" i="1"/>
  <c r="S13" i="1"/>
  <c r="T13" i="1"/>
  <c r="U13" i="1"/>
  <c r="V13" i="1"/>
  <c r="W13" i="1"/>
  <c r="X13" i="1" a="1"/>
  <c r="X13" i="1" s="1"/>
  <c r="Y13" i="1" a="1"/>
  <c r="Y13" i="1" s="1"/>
  <c r="AA13" i="1"/>
  <c r="AB13" i="1"/>
  <c r="AC13" i="1" a="1"/>
  <c r="AC13" i="1" s="1"/>
  <c r="AD13" i="1"/>
  <c r="AE13" i="1" a="1"/>
  <c r="AE13" i="1" s="1"/>
  <c r="AF13" i="1"/>
  <c r="AG13" i="1"/>
  <c r="AH13" i="1"/>
  <c r="AI13" i="1" a="1"/>
  <c r="AI13" i="1" s="1"/>
  <c r="R14" i="1"/>
  <c r="S14" i="1"/>
  <c r="T14" i="1"/>
  <c r="U14" i="1"/>
  <c r="V14" i="1"/>
  <c r="W14" i="1"/>
  <c r="AN14" i="1" s="1"/>
  <c r="X14" i="1" a="1"/>
  <c r="X14" i="1" s="1"/>
  <c r="Y14" i="1" a="1"/>
  <c r="Y14" i="1" s="1"/>
  <c r="AA14" i="1"/>
  <c r="AB14" i="1"/>
  <c r="AC14" i="1" a="1"/>
  <c r="AC14" i="1" s="1"/>
  <c r="AD14" i="1"/>
  <c r="AE14" i="1" a="1"/>
  <c r="AE14" i="1" s="1"/>
  <c r="AF14" i="1"/>
  <c r="AG14" i="1"/>
  <c r="AH14" i="1"/>
  <c r="AI14" i="1" a="1"/>
  <c r="AI14" i="1" s="1"/>
  <c r="AP14" i="1" l="1"/>
  <c r="AP10" i="1"/>
  <c r="AP6" i="1"/>
  <c r="AN11" i="1"/>
  <c r="AN7" i="1"/>
  <c r="AN45" i="1"/>
  <c r="AP44" i="1"/>
  <c r="AN43" i="1"/>
  <c r="AP42" i="1"/>
  <c r="AN41" i="1"/>
  <c r="AP40" i="1"/>
  <c r="AN39" i="1"/>
  <c r="AP38" i="1"/>
  <c r="AN37" i="1"/>
  <c r="AP36" i="1"/>
  <c r="AN35" i="1"/>
  <c r="AP34" i="1"/>
  <c r="AN33" i="1"/>
  <c r="AP32" i="1"/>
  <c r="AN31" i="1"/>
  <c r="AP30" i="1"/>
  <c r="AN29" i="1"/>
  <c r="AP28" i="1"/>
  <c r="AN27" i="1"/>
  <c r="AP26" i="1"/>
  <c r="AN25" i="1"/>
  <c r="AP24" i="1"/>
  <c r="AN23" i="1"/>
  <c r="AP22" i="1"/>
  <c r="AN21" i="1"/>
  <c r="AP20" i="1"/>
  <c r="AN19" i="1"/>
  <c r="AP18" i="1"/>
  <c r="AN17" i="1"/>
  <c r="AP16" i="1"/>
  <c r="AN15" i="1"/>
  <c r="AP45" i="1"/>
  <c r="AP43" i="1"/>
  <c r="AP41" i="1"/>
  <c r="AP39" i="1"/>
  <c r="AP37" i="1"/>
  <c r="AP35" i="1"/>
  <c r="AP33" i="1"/>
  <c r="AP31" i="1"/>
  <c r="AP29" i="1"/>
  <c r="AP27" i="1"/>
  <c r="AP25" i="1"/>
  <c r="AP23" i="1"/>
  <c r="AP21" i="1"/>
  <c r="AP19" i="1"/>
  <c r="AP17" i="1"/>
  <c r="AP15" i="1"/>
  <c r="AO45" i="1"/>
  <c r="AQ45" i="1" s="1"/>
  <c r="AM45" i="1"/>
  <c r="AO43" i="1"/>
  <c r="AM43" i="1"/>
  <c r="AO41" i="1"/>
  <c r="AM41" i="1"/>
  <c r="AO39" i="1"/>
  <c r="AM39" i="1"/>
  <c r="AO37" i="1"/>
  <c r="AQ37" i="1" s="1"/>
  <c r="AM37" i="1"/>
  <c r="AO35" i="1"/>
  <c r="AM35" i="1"/>
  <c r="AO33" i="1"/>
  <c r="AM33" i="1"/>
  <c r="AO31" i="1"/>
  <c r="AM31" i="1"/>
  <c r="AO29" i="1"/>
  <c r="AQ29" i="1" s="1"/>
  <c r="AM29" i="1"/>
  <c r="AO27" i="1"/>
  <c r="AM27" i="1"/>
  <c r="AO25" i="1"/>
  <c r="AM25" i="1"/>
  <c r="AO23" i="1"/>
  <c r="AM23" i="1"/>
  <c r="AO21" i="1"/>
  <c r="AQ21" i="1" s="1"/>
  <c r="AM21" i="1"/>
  <c r="AO19" i="1"/>
  <c r="AM19" i="1"/>
  <c r="AQ19" i="1" s="1"/>
  <c r="AO17" i="1"/>
  <c r="AM17" i="1"/>
  <c r="AO15" i="1"/>
  <c r="AM15" i="1"/>
  <c r="AO13" i="1"/>
  <c r="AM12" i="1"/>
  <c r="AO9" i="1"/>
  <c r="AM8" i="1"/>
  <c r="AO5" i="1"/>
  <c r="AM4" i="1"/>
  <c r="AO12" i="1"/>
  <c r="AM11" i="1"/>
  <c r="AO8" i="1"/>
  <c r="AM7" i="1"/>
  <c r="AO4" i="1"/>
  <c r="AM14" i="1"/>
  <c r="AQ14" i="1" s="1"/>
  <c r="AP13" i="1"/>
  <c r="AP12" i="1"/>
  <c r="AO11" i="1"/>
  <c r="AM10" i="1"/>
  <c r="AP9" i="1"/>
  <c r="AP8" i="1"/>
  <c r="AO7" i="1"/>
  <c r="AM6" i="1"/>
  <c r="AP5" i="1"/>
  <c r="AP4" i="1"/>
  <c r="AO14" i="1"/>
  <c r="AN13" i="1"/>
  <c r="AM13" i="1"/>
  <c r="AO10" i="1"/>
  <c r="AN9" i="1"/>
  <c r="AM9" i="1"/>
  <c r="AO6" i="1"/>
  <c r="AN5" i="1"/>
  <c r="AM5" i="1"/>
  <c r="AO46" i="1"/>
  <c r="AN46" i="1"/>
  <c r="AM46" i="1"/>
  <c r="AO44" i="1"/>
  <c r="AN44" i="1"/>
  <c r="AM44" i="1"/>
  <c r="AO42" i="1"/>
  <c r="AN42" i="1"/>
  <c r="AM42" i="1"/>
  <c r="AO40" i="1"/>
  <c r="AN40" i="1"/>
  <c r="AM40" i="1"/>
  <c r="AO38" i="1"/>
  <c r="AN38" i="1"/>
  <c r="AM38" i="1"/>
  <c r="AO36" i="1"/>
  <c r="AN36" i="1"/>
  <c r="AM36" i="1"/>
  <c r="AO34" i="1"/>
  <c r="AN34" i="1"/>
  <c r="AM34" i="1"/>
  <c r="AO32" i="1"/>
  <c r="AN32" i="1"/>
  <c r="AM32" i="1"/>
  <c r="AO30" i="1"/>
  <c r="AN30" i="1"/>
  <c r="AM30" i="1"/>
  <c r="AO28" i="1"/>
  <c r="AN28" i="1"/>
  <c r="AM28" i="1"/>
  <c r="AO26" i="1"/>
  <c r="AN26" i="1"/>
  <c r="AM26" i="1"/>
  <c r="AO24" i="1"/>
  <c r="AN24" i="1"/>
  <c r="AM24" i="1"/>
  <c r="AO22" i="1"/>
  <c r="AN22" i="1"/>
  <c r="AM22" i="1"/>
  <c r="AO20" i="1"/>
  <c r="AN20" i="1"/>
  <c r="AM20" i="1"/>
  <c r="AO18" i="1"/>
  <c r="AN18" i="1"/>
  <c r="AM18" i="1"/>
  <c r="AO16" i="1"/>
  <c r="AN16" i="1"/>
  <c r="AM16" i="1"/>
  <c r="AQ39" i="1"/>
  <c r="AJ46" i="1"/>
  <c r="AJ44" i="1"/>
  <c r="AJ43" i="1"/>
  <c r="AJ42" i="1"/>
  <c r="AJ40" i="1"/>
  <c r="AJ39" i="1"/>
  <c r="AJ38" i="1"/>
  <c r="AJ34" i="1"/>
  <c r="AJ30" i="1"/>
  <c r="AJ28" i="1"/>
  <c r="AJ26" i="1"/>
  <c r="AJ24" i="1"/>
  <c r="AJ23" i="1"/>
  <c r="AJ22" i="1"/>
  <c r="AJ20" i="1"/>
  <c r="AJ19" i="1"/>
  <c r="AJ18" i="1"/>
  <c r="AJ16" i="1"/>
  <c r="AJ15" i="1"/>
  <c r="AJ14" i="1"/>
  <c r="AJ10" i="1"/>
  <c r="AJ6" i="1"/>
  <c r="AJ13" i="1"/>
  <c r="AJ9" i="1"/>
  <c r="AJ5" i="1"/>
  <c r="AJ12" i="1"/>
  <c r="AJ8" i="1"/>
  <c r="AJ4" i="1"/>
  <c r="AJ11" i="1"/>
  <c r="AJ7" i="1"/>
  <c r="AJ31" i="1"/>
  <c r="AJ45" i="1"/>
  <c r="AJ41" i="1"/>
  <c r="AJ37" i="1"/>
  <c r="AJ35" i="1"/>
  <c r="AJ33" i="1"/>
  <c r="AJ29" i="1"/>
  <c r="AJ25" i="1"/>
  <c r="AJ21" i="1"/>
  <c r="AJ17" i="1"/>
  <c r="AJ36" i="1"/>
  <c r="AJ32" i="1"/>
  <c r="AJ27" i="1"/>
  <c r="AC3" i="1" a="1"/>
  <c r="AC3" i="1" s="1"/>
  <c r="AQ11" i="1" l="1"/>
  <c r="AQ10" i="1"/>
  <c r="AQ22" i="1"/>
  <c r="AQ30" i="1"/>
  <c r="AQ38" i="1"/>
  <c r="AQ46" i="1"/>
  <c r="AQ6" i="1"/>
  <c r="AQ17" i="1"/>
  <c r="AQ25" i="1"/>
  <c r="AQ33" i="1"/>
  <c r="AQ41" i="1"/>
  <c r="AQ12" i="1"/>
  <c r="AQ18" i="1"/>
  <c r="AQ26" i="1"/>
  <c r="AQ34" i="1"/>
  <c r="AQ42" i="1"/>
  <c r="AQ8" i="1"/>
  <c r="AQ15" i="1"/>
  <c r="AQ23" i="1"/>
  <c r="AQ27" i="1"/>
  <c r="AQ31" i="1"/>
  <c r="AQ35" i="1"/>
  <c r="AQ43" i="1"/>
  <c r="AQ16" i="1"/>
  <c r="AQ20" i="1"/>
  <c r="AQ24" i="1"/>
  <c r="AQ28" i="1"/>
  <c r="AQ32" i="1"/>
  <c r="AQ36" i="1"/>
  <c r="AQ40" i="1"/>
  <c r="AQ44" i="1"/>
  <c r="AQ7" i="1"/>
  <c r="AQ4" i="1"/>
  <c r="AQ9" i="1"/>
  <c r="AQ5" i="1"/>
  <c r="AQ13" i="1"/>
  <c r="R3" i="1"/>
  <c r="C7" i="7" l="1"/>
  <c r="V3" i="1"/>
  <c r="AG3" i="1" l="1"/>
  <c r="AG6465" i="1" l="1"/>
  <c r="AE3" i="1" l="1" a="1"/>
  <c r="AE3" i="1" s="1"/>
  <c r="Y3" i="1" a="1"/>
  <c r="Y3" i="1" s="1"/>
  <c r="S3" i="1"/>
  <c r="T3" i="1"/>
  <c r="U3" i="1"/>
  <c r="W3" i="1"/>
  <c r="AN3" i="1" s="1"/>
  <c r="X3" i="1" a="1"/>
  <c r="X3" i="1" s="1"/>
  <c r="AA3" i="1"/>
  <c r="AD3" i="1"/>
  <c r="AF3" i="1"/>
  <c r="AH3" i="1"/>
  <c r="AI3" i="1" a="1"/>
  <c r="AI3" i="1" s="1"/>
  <c r="AO3" i="1" l="1"/>
  <c r="AP3" i="1"/>
  <c r="AM3" i="1"/>
  <c r="AJ3" i="1"/>
  <c r="AQ3" i="1" l="1"/>
  <c r="F7" i="7"/>
  <c r="I7" i="7" s="1"/>
  <c r="F8" i="7"/>
  <c r="L7" i="7" l="1"/>
  <c r="L8" i="7" s="1"/>
  <c r="I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tc={0693DA78-F997-424A-8D30-A205E49644EF}</author>
  </authors>
  <commentList>
    <comment ref="H3153" authorId="0" shapeId="0" xr:uid="{0693DA78-F997-424A-8D30-A205E49644E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requested to retained as NE not northeast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<sst xmlns="http://schemas.openxmlformats.org/spreadsheetml/2006/main" count="1320" uniqueCount="579">
  <si>
    <t>Field</t>
  </si>
  <si>
    <t>Original Value</t>
  </si>
  <si>
    <t>New Value</t>
  </si>
  <si>
    <t>Account Name</t>
  </si>
  <si>
    <t>Billing Street</t>
  </si>
  <si>
    <t>Billing City</t>
  </si>
  <si>
    <t>Billing State/Province</t>
  </si>
  <si>
    <t>Billing Zip/Postal Code</t>
  </si>
  <si>
    <t>Billing Country</t>
  </si>
  <si>
    <t>PO Number</t>
  </si>
  <si>
    <t>Tax ID / VAT #</t>
  </si>
  <si>
    <t>Bill To Contact</t>
  </si>
  <si>
    <t>Billing Contact Name</t>
  </si>
  <si>
    <t>-</t>
  </si>
  <si>
    <t>Report Name</t>
  </si>
  <si>
    <t>Procedure</t>
  </si>
  <si>
    <t>- Extract the data from "Billing Profile Change History" report for the previous week</t>
  </si>
  <si>
    <t>- Run the cleanup macro which will highlight the potential errors and will verify the data</t>
  </si>
  <si>
    <t>- Check the fields Stylistic and Formatting (abbreviated words, punctuation, entity type formatting, etc.) as per "Account Creation Best Practices" Guidelines</t>
  </si>
  <si>
    <t>- Update the necessary changes in the records based on the audit</t>
  </si>
  <si>
    <t>- Visually check the records to see if any additional potential errors in the report</t>
  </si>
  <si>
    <t>Validation in fields levels</t>
  </si>
  <si>
    <t>Billing Profile Change History</t>
  </si>
  <si>
    <t>Run a macro which identify potential error in Account name based on the standards (abbreviated words, punctuation, entity type formatting, etc.) also will check proper casing</t>
  </si>
  <si>
    <t>Run a macro which identify potential error in address field based on the standards (abbreviated words, punctuation, entity type formatting, etc.) also will check proper casing</t>
  </si>
  <si>
    <t>Check proper casing in City field</t>
  </si>
  <si>
    <t>Check proper casing in State/Province field</t>
  </si>
  <si>
    <t>Check the standard format (includes county code in VAT and blank for US country etc.) for Tax ID/VAT numbers alone
If Deal Desk is inserting Tax IDs that aren't VAT/CNPJ/ABN/EFN #s it's fine to leave them in. I don't think it should cause any harm.</t>
  </si>
  <si>
    <t>Check proper casing in Bill To Contact field</t>
  </si>
  <si>
    <t>Check for US Territories AS, FM, GU, MH, MP, PW, PR, VI, UM and relocate to Billing state field</t>
  </si>
  <si>
    <t/>
  </si>
  <si>
    <t>New York</t>
  </si>
  <si>
    <t>NY</t>
  </si>
  <si>
    <t>US</t>
  </si>
  <si>
    <t>JP</t>
  </si>
  <si>
    <t>LA</t>
  </si>
  <si>
    <t>IT</t>
  </si>
  <si>
    <t>PA</t>
  </si>
  <si>
    <t>FI</t>
  </si>
  <si>
    <t>TN</t>
  </si>
  <si>
    <t>DE</t>
  </si>
  <si>
    <t>CH</t>
  </si>
  <si>
    <t>NJ</t>
  </si>
  <si>
    <t>CT</t>
  </si>
  <si>
    <t>GA</t>
  </si>
  <si>
    <t>VA</t>
  </si>
  <si>
    <t>GB</t>
  </si>
  <si>
    <t>TX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</si>
  <si>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</si>
  <si>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</si>
  <si>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</si>
  <si>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</si>
  <si>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</si>
  <si>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</si>
  <si>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</si>
  <si>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</si>
  <si>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</si>
  <si>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</si>
  <si>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</si>
  <si>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</si>
  <si>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</si>
  <si>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Delaware</t>
  </si>
  <si>
    <t>District of Columbia</t>
  </si>
  <si>
    <t>DC</t>
  </si>
  <si>
    <t>Florida</t>
  </si>
  <si>
    <t>FL</t>
  </si>
  <si>
    <t>Georgia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</si>
  <si>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</si>
  <si>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</si>
  <si>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</si>
  <si>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</si>
  <si>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</si>
  <si>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</si>
  <si>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</si>
  <si>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</si>
  <si>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</si>
  <si>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</si>
  <si>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</si>
  <si>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</si>
  <si>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</si>
  <si>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</si>
  <si>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</si>
  <si>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</si>
  <si>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</si>
  <si>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</si>
  <si>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</si>
  <si>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</si>
  <si>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</si>
  <si>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</si>
  <si>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</si>
  <si>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</si>
  <si>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</si>
  <si>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</si>
  <si>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</si>
  <si>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</si>
  <si>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</si>
  <si>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</si>
  <si>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</si>
  <si>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</si>
  <si>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Nevada</t>
  </si>
  <si>
    <t>NV</t>
  </si>
  <si>
    <t>New Hampshire</t>
  </si>
  <si>
    <t>NH</t>
  </si>
  <si>
    <t>New Jersey</t>
  </si>
  <si>
    <t>New Mexico</t>
  </si>
  <si>
    <t>NM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</si>
  <si>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</si>
  <si>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</si>
  <si>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</si>
  <si>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</si>
  <si>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</si>
  <si>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</si>
  <si>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</si>
  <si>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</si>
  <si>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</si>
  <si>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</si>
  <si>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</si>
  <si>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Puerto Rico</t>
  </si>
  <si>
    <t>PR</t>
  </si>
  <si>
    <t>Rhode Island</t>
  </si>
  <si>
    <t>RI</t>
  </si>
  <si>
    <t>South Carolina</t>
  </si>
  <si>
    <t>SC</t>
  </si>
  <si>
    <t>South Dakota</t>
  </si>
  <si>
    <t>SD</t>
  </si>
  <si>
    <t>Tennessee</t>
  </si>
  <si>
    <t>Texas</t>
  </si>
  <si>
    <t>Utah</t>
  </si>
  <si>
    <t>UT</t>
  </si>
  <si>
    <t>Vermont</t>
  </si>
  <si>
    <t>VT</t>
  </si>
  <si>
    <t>Virginia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</si>
  <si>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</si>
  <si>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</si>
  <si>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</si>
  <si>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</si>
  <si>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</si>
  <si>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</si>
  <si>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</si>
  <si>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</si>
  <si>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US State/Territory</t>
  </si>
  <si>
    <t>US Abbreviation</t>
  </si>
  <si>
    <t>NE</t>
  </si>
  <si>
    <t>Canadian Provinces and Territories</t>
  </si>
  <si>
    <t>Alberta</t>
  </si>
  <si>
    <t>AB</t>
  </si>
  <si>
    <t>British Columbia</t>
  </si>
  <si>
    <t>BC</t>
  </si>
  <si>
    <t>Manitoba</t>
  </si>
  <si>
    <t>MB</t>
  </si>
  <si>
    <t>New Brunswick</t>
  </si>
  <si>
    <t>NB</t>
  </si>
  <si>
    <t>Newfoundland and Labrador</t>
  </si>
  <si>
    <t>NL</t>
  </si>
  <si>
    <t>Northwest Territories</t>
  </si>
  <si>
    <t>NT</t>
  </si>
  <si>
    <t>Nova Scotia</t>
  </si>
  <si>
    <t>NS</t>
  </si>
  <si>
    <t>Nunavut</t>
  </si>
  <si>
    <t>NU</t>
  </si>
  <si>
    <t>Ontario</t>
  </si>
  <si>
    <t>ON</t>
  </si>
  <si>
    <t>Prince Edward Island</t>
  </si>
  <si>
    <t>PE</t>
  </si>
  <si>
    <t>Quebec</t>
  </si>
  <si>
    <t>QC</t>
  </si>
  <si>
    <t>Saskatchewan</t>
  </si>
  <si>
    <t>SK</t>
  </si>
  <si>
    <t>Yukon</t>
  </si>
  <si>
    <t>YT</t>
  </si>
  <si>
    <t>Canadian Abbreviation</t>
  </si>
  <si>
    <t>AC</t>
  </si>
  <si>
    <t>AP</t>
  </si>
  <si>
    <t>AM</t>
  </si>
  <si>
    <t>BA</t>
  </si>
  <si>
    <t>CE</t>
  </si>
  <si>
    <t>DF</t>
  </si>
  <si>
    <t>ES</t>
  </si>
  <si>
    <t>GO</t>
  </si>
  <si>
    <t>MG</t>
  </si>
  <si>
    <t>PB</t>
  </si>
  <si>
    <t>PI</t>
  </si>
  <si>
    <t>RJ</t>
  </si>
  <si>
    <t>RN</t>
  </si>
  <si>
    <t>RS</t>
  </si>
  <si>
    <t>RO</t>
  </si>
  <si>
    <t>RR</t>
  </si>
  <si>
    <t>SP</t>
  </si>
  <si>
    <t>SE</t>
  </si>
  <si>
    <t>TO</t>
  </si>
  <si>
    <t>Acre</t>
  </si>
  <si>
    <t>Alagoas</t>
  </si>
  <si>
    <t>Amapa</t>
  </si>
  <si>
    <t>Amazonas</t>
  </si>
  <si>
    <t>Bahia</t>
  </si>
  <si>
    <t>Ceara</t>
  </si>
  <si>
    <t>Distrito Federal</t>
  </si>
  <si>
    <t>Espírito Santo</t>
  </si>
  <si>
    <t>Goias</t>
  </si>
  <si>
    <t>Maranhao</t>
  </si>
  <si>
    <t>Mato Grosso</t>
  </si>
  <si>
    <t>Mato Grosso do Sul</t>
  </si>
  <si>
    <t>Minas Gerais</t>
  </si>
  <si>
    <t>Para</t>
  </si>
  <si>
    <t>Paraíba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</si>
  <si>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</si>
  <si>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</si>
  <si>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</si>
  <si>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</si>
  <si>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</si>
  <si>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</si>
  <si>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</si>
  <si>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</si>
  <si>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</si>
  <si>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</si>
  <si>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</si>
  <si>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</si>
  <si>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Brazilian Stage</t>
  </si>
  <si>
    <t>Brazilian Abbreviation</t>
  </si>
  <si>
    <t>Australia State</t>
  </si>
  <si>
    <t>Australia Abbreviation</t>
  </si>
  <si>
    <t>ACT</t>
  </si>
  <si>
    <t>Australian Capital Territory</t>
  </si>
  <si>
    <t>NSW</t>
  </si>
  <si>
    <t>New South Wales</t>
  </si>
  <si>
    <t>Northern Territory</t>
  </si>
  <si>
    <t>QLD</t>
  </si>
  <si>
    <t>Queensland</t>
  </si>
  <si>
    <t>SA</t>
  </si>
  <si>
    <t>South Australia</t>
  </si>
  <si>
    <t>TAS</t>
  </si>
  <si>
    <t>Tasmania</t>
  </si>
  <si>
    <t>VIC</t>
  </si>
  <si>
    <t>Victoria</t>
  </si>
  <si>
    <t>Western Australia</t>
  </si>
  <si>
    <t>AU</t>
  </si>
  <si>
    <t>BR</t>
  </si>
  <si>
    <t>DM</t>
  </si>
  <si>
    <t>DJ</t>
  </si>
  <si>
    <t>Country Codes</t>
  </si>
  <si>
    <t>JE</t>
  </si>
  <si>
    <t>AF</t>
  </si>
  <si>
    <t>DZ</t>
  </si>
  <si>
    <t>AS</t>
  </si>
  <si>
    <t>AD</t>
  </si>
  <si>
    <t>AO</t>
  </si>
  <si>
    <t>AI</t>
  </si>
  <si>
    <t>AQ</t>
  </si>
  <si>
    <t>AG</t>
  </si>
  <si>
    <t>AW</t>
  </si>
  <si>
    <t>AT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</si>
  <si>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</si>
  <si>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</si>
  <si>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</si>
  <si>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</si>
  <si>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</si>
  <si>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</si>
  <si>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</si>
  <si>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</si>
  <si>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</si>
  <si>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</si>
  <si>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</si>
  <si>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BW</t>
  </si>
  <si>
    <t>IO</t>
  </si>
  <si>
    <t>VG</t>
  </si>
  <si>
    <t>BN</t>
  </si>
  <si>
    <t>BG</t>
  </si>
  <si>
    <t>BF</t>
  </si>
  <si>
    <t>BI</t>
  </si>
  <si>
    <t>KH</t>
  </si>
  <si>
    <t>CM</t>
  </si>
  <si>
    <t>CV</t>
  </si>
  <si>
    <t>CF</t>
  </si>
  <si>
    <t>TD</t>
  </si>
  <si>
    <t>CL</t>
  </si>
  <si>
    <t>CN</t>
  </si>
  <si>
    <t>CX</t>
  </si>
  <si>
    <t>CC</t>
  </si>
  <si>
    <t>KM</t>
  </si>
  <si>
    <t>CK</t>
  </si>
  <si>
    <t>CR</t>
  </si>
  <si>
    <t>HR</t>
  </si>
  <si>
    <t>CU</t>
  </si>
  <si>
    <t>CW</t>
  </si>
  <si>
    <t>CY</t>
  </si>
  <si>
    <t>CZ</t>
  </si>
  <si>
    <t>CD</t>
  </si>
  <si>
    <t>DK</t>
  </si>
  <si>
    <t>DO</t>
  </si>
  <si>
    <t>TL</t>
  </si>
  <si>
    <t>EC</t>
  </si>
  <si>
    <t>EG</t>
  </si>
  <si>
    <t>SV</t>
  </si>
  <si>
    <t>GQ</t>
  </si>
  <si>
    <t>ER</t>
  </si>
  <si>
    <t>EE</t>
  </si>
  <si>
    <t>ET</t>
  </si>
  <si>
    <t>FK</t>
  </si>
  <si>
    <t>FO</t>
  </si>
  <si>
    <t>FJ</t>
  </si>
  <si>
    <t>FR</t>
  </si>
  <si>
    <t>PF</t>
  </si>
  <si>
    <t>GM</t>
  </si>
  <si>
    <t>GE</t>
  </si>
  <si>
    <t>GH</t>
  </si>
  <si>
    <t>GI</t>
  </si>
  <si>
    <t>GR</t>
  </si>
  <si>
    <t>GL</t>
  </si>
  <si>
    <t>GD</t>
  </si>
  <si>
    <t>GU</t>
  </si>
  <si>
    <t>GT</t>
  </si>
  <si>
    <t>GG</t>
  </si>
  <si>
    <t>GN</t>
  </si>
  <si>
    <t>GW</t>
  </si>
  <si>
    <t>GY</t>
  </si>
  <si>
    <t>HT</t>
  </si>
  <si>
    <t>HN</t>
  </si>
  <si>
    <t>HK</t>
  </si>
  <si>
    <t>HU</t>
  </si>
  <si>
    <t>IS</t>
  </si>
  <si>
    <t>IR</t>
  </si>
  <si>
    <t>IQ</t>
  </si>
  <si>
    <t>IE</t>
  </si>
  <si>
    <t>IM</t>
  </si>
  <si>
    <t>CI</t>
  </si>
  <si>
    <t>JM</t>
  </si>
  <si>
    <t>JO</t>
  </si>
  <si>
    <t>KZ</t>
  </si>
  <si>
    <t>KE</t>
  </si>
  <si>
    <t>KI</t>
  </si>
  <si>
    <t>XK</t>
  </si>
  <si>
    <t>KW</t>
  </si>
  <si>
    <t>KG</t>
  </si>
  <si>
    <t>LV</t>
  </si>
  <si>
    <t>LB</t>
  </si>
  <si>
    <t>LS</t>
  </si>
  <si>
    <t>LR</t>
  </si>
  <si>
    <t>LY</t>
  </si>
  <si>
    <t>LI</t>
  </si>
  <si>
    <t>LT</t>
  </si>
  <si>
    <t>LU</t>
  </si>
  <si>
    <t>MK</t>
  </si>
  <si>
    <t>MW</t>
  </si>
  <si>
    <t>MY</t>
  </si>
  <si>
    <t>MV</t>
  </si>
  <si>
    <t>ML</t>
  </si>
  <si>
    <t>MH</t>
  </si>
  <si>
    <t>MR</t>
  </si>
  <si>
    <t>MU</t>
  </si>
  <si>
    <t>MX</t>
  </si>
  <si>
    <t>FM</t>
  </si>
  <si>
    <t>MC</t>
  </si>
  <si>
    <t>MZ</t>
  </si>
  <si>
    <t>MM</t>
  </si>
  <si>
    <t>NA</t>
  </si>
  <si>
    <t>NR</t>
  </si>
  <si>
    <t>NP</t>
  </si>
  <si>
    <t>AN</t>
  </si>
  <si>
    <t>NZ</t>
  </si>
  <si>
    <t>NI</t>
  </si>
  <si>
    <t>NG</t>
  </si>
  <si>
    <t>KP</t>
  </si>
  <si>
    <t>MP</t>
  </si>
  <si>
    <t>NO</t>
  </si>
  <si>
    <t>OM</t>
  </si>
  <si>
    <t>PK</t>
  </si>
  <si>
    <t>PW</t>
  </si>
  <si>
    <t>PS</t>
  </si>
  <si>
    <t>PG</t>
  </si>
  <si>
    <t>PY</t>
  </si>
  <si>
    <t>PH</t>
  </si>
  <si>
    <t>PN</t>
  </si>
  <si>
    <t>PL</t>
  </si>
  <si>
    <t>PT</t>
  </si>
  <si>
    <t>QA</t>
  </si>
  <si>
    <t>CG</t>
  </si>
  <si>
    <t>RE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</si>
  <si>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</si>
  <si>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</si>
  <si>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</si>
  <si>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</si>
  <si>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</si>
  <si>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</si>
  <si>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</si>
  <si>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</si>
  <si>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</si>
  <si>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</si>
  <si>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</si>
  <si>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</si>
  <si>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SN</t>
  </si>
  <si>
    <t>SL</t>
  </si>
  <si>
    <t>SG</t>
  </si>
  <si>
    <t>SX</t>
  </si>
  <si>
    <t>SI</t>
  </si>
  <si>
    <t>SB</t>
  </si>
  <si>
    <t>SO</t>
  </si>
  <si>
    <t>ZA</t>
  </si>
  <si>
    <t>KR</t>
  </si>
  <si>
    <t>SS</t>
  </si>
  <si>
    <t>LK</t>
  </si>
  <si>
    <t>SR</t>
  </si>
  <si>
    <t>SJ</t>
  </si>
  <si>
    <t>SZ</t>
  </si>
  <si>
    <t>SY</t>
  </si>
  <si>
    <t>TW</t>
  </si>
  <si>
    <t>TJ</t>
  </si>
  <si>
    <t>TZ</t>
  </si>
  <si>
    <t>TH</t>
  </si>
  <si>
    <t>TG</t>
  </si>
  <si>
    <t>TK</t>
  </si>
  <si>
    <t>TT</t>
  </si>
  <si>
    <t>TR</t>
  </si>
  <si>
    <t>TM</t>
  </si>
  <si>
    <t>TC</t>
  </si>
  <si>
    <t>TV</t>
  </si>
  <si>
    <t>VI</t>
  </si>
  <si>
    <t>UG</t>
  </si>
  <si>
    <t>UA</t>
  </si>
  <si>
    <t>AE</t>
  </si>
  <si>
    <t>UY</t>
  </si>
  <si>
    <t>UZ</t>
  </si>
  <si>
    <t>VU</t>
  </si>
  <si>
    <t>VE</t>
  </si>
  <si>
    <t>VN</t>
  </si>
  <si>
    <t>WF</t>
  </si>
  <si>
    <t>EH</t>
  </si>
  <si>
    <t>YE</t>
  </si>
  <si>
    <t>ZM</t>
  </si>
  <si>
    <t>ZW</t>
  </si>
  <si>
    <t>Audit Fields</t>
  </si>
  <si>
    <t>Description</t>
  </si>
  <si>
    <t>S.No.</t>
  </si>
  <si>
    <t>Check the Account Name to see if the value is entered in the UPPER case.</t>
  </si>
  <si>
    <t>Check the Account Name to see if the value is entered in the LOWER case.</t>
  </si>
  <si>
    <t>Billing Street: check if the value doesn’t enter in the PROPER case.</t>
  </si>
  <si>
    <t>Billing City: check if the value doesn’t enter in the PROPER case.</t>
  </si>
  <si>
    <t>Check the State codes to see if the value is entered properly based on countries. (US, CA, BR and AU should have proper abbreviated codes.)</t>
  </si>
  <si>
    <t>Check the State codes to see if the value is entered UPPER case for the countries US, CA, BR &amp; AU and all other countries should have proper case.)</t>
  </si>
  <si>
    <t>Check the City/State/PO/Countries to see if the value are entered Address 1 field</t>
  </si>
  <si>
    <t>Check the PO Number to see if the value is entered in Tax ID field.</t>
  </si>
  <si>
    <t>Check the Tax ID field to see if the PO number is entered in the field.</t>
  </si>
  <si>
    <t>Check the Tax ID field to see if the country code is entered along with number.</t>
  </si>
  <si>
    <t>Billing Contact Name: check if the value doesn’t enter in the PROPER case.</t>
  </si>
  <si>
    <t>US Territories: check if the value is entered properly.</t>
  </si>
  <si>
    <t>Filter out unique records to avoid duplicate rows</t>
  </si>
  <si>
    <t>Check the Directional Name to see if the value is entered in the abbreviated format.</t>
  </si>
  <si>
    <t>This field combines all the above errors as a single value to perform audit</t>
  </si>
  <si>
    <t>Enter remarks once the audit is complete for the row</t>
  </si>
  <si>
    <t>Check the Country code to see if the value is entered properly.</t>
  </si>
  <si>
    <t>Saint abbreviation (St or St.) check in city</t>
  </si>
  <si>
    <t>Symbols check in Account</t>
  </si>
  <si>
    <t>Symbols check in City</t>
  </si>
  <si>
    <t>Accounts Payable</t>
  </si>
  <si>
    <t>London</t>
  </si>
  <si>
    <t>VAT Country Codes</t>
  </si>
  <si>
    <t>11/26/2024</t>
  </si>
  <si>
    <t>EC2V 7EE</t>
  </si>
  <si>
    <t>Charlotte</t>
  </si>
  <si>
    <t>Dallas</t>
  </si>
  <si>
    <t>10/25/2024</t>
  </si>
  <si>
    <t>PO-007496</t>
  </si>
  <si>
    <t>PO-017004</t>
  </si>
  <si>
    <t>Bozeman</t>
  </si>
  <si>
    <t>59715</t>
  </si>
  <si>
    <t>10/29/2024</t>
  </si>
  <si>
    <t>10/31/2024</t>
  </si>
  <si>
    <t>75201</t>
  </si>
  <si>
    <t>10/9/2024</t>
  </si>
  <si>
    <t>Mississauga</t>
  </si>
  <si>
    <t>L5N 5R5</t>
  </si>
  <si>
    <t>4/11/2024</t>
  </si>
  <si>
    <t>1/24/2024</t>
  </si>
  <si>
    <t>28277</t>
  </si>
  <si>
    <t>9/11/2024</t>
  </si>
  <si>
    <t>Redwood City</t>
  </si>
  <si>
    <t>94063</t>
  </si>
  <si>
    <t>12/10/2024</t>
  </si>
  <si>
    <t>Account Street</t>
  </si>
  <si>
    <t>Account City</t>
  </si>
  <si>
    <t>Account State/Province</t>
  </si>
  <si>
    <t>Account Country</t>
  </si>
  <si>
    <t>Account Contact Name</t>
  </si>
  <si>
    <t>User 1</t>
  </si>
  <si>
    <t>User 2</t>
  </si>
  <si>
    <t>User 3</t>
  </si>
  <si>
    <t>Created Date</t>
  </si>
  <si>
    <t>Created By</t>
  </si>
  <si>
    <t>Sample Inc.</t>
  </si>
  <si>
    <t>Sample, Inc.</t>
  </si>
  <si>
    <t>ID-0001a000</t>
  </si>
  <si>
    <t>ID-0002a000</t>
  </si>
  <si>
    <t>ID-0003a000</t>
  </si>
  <si>
    <t>ID-0004a000</t>
  </si>
  <si>
    <t>ID-0005a000</t>
  </si>
  <si>
    <t>ID-0006a000</t>
  </si>
  <si>
    <t>Smith Francis</t>
  </si>
  <si>
    <t>_00575</t>
  </si>
  <si>
    <t>Sample Products, Inc.</t>
  </si>
  <si>
    <t>Sample Ltd</t>
  </si>
  <si>
    <t>Sample Technologies, Inc.</t>
  </si>
  <si>
    <t>SAMPLE PARTNERS</t>
  </si>
  <si>
    <t>sample flow, inc.</t>
  </si>
  <si>
    <t>ID_Num_1</t>
  </si>
  <si>
    <t>ID_Num_2</t>
  </si>
  <si>
    <t>ID_Num_3</t>
  </si>
  <si>
    <t>ID_Num_4</t>
  </si>
  <si>
    <t>ID_Num_5</t>
  </si>
  <si>
    <t>ID_Num_6</t>
  </si>
  <si>
    <t>Account ID</t>
  </si>
  <si>
    <t>Suite 30000A, Street</t>
  </si>
  <si>
    <t>10000 Sample Court, Suite 200</t>
  </si>
  <si>
    <t>11111 Sample Place</t>
  </si>
  <si>
    <t>main street, 5th Floor</t>
  </si>
  <si>
    <t>10000 Sample Way</t>
  </si>
  <si>
    <t>PO-017</t>
  </si>
  <si>
    <t>PO 030</t>
  </si>
  <si>
    <t>Justin Frank</t>
  </si>
  <si>
    <t>Smith Frank</t>
  </si>
  <si>
    <t>Tony Frank</t>
  </si>
  <si>
    <t>=IF(G2=G1,"","Unique Record")</t>
  </si>
  <si>
    <t>=IF(F2="","",IF(EXACT(F2,(UPPER(F2))),"Account Upper Case",""))</t>
  </si>
  <si>
    <t>=IF(F2="","",IF(EXACT(F2,(LOWER(F2))),"Account Lower Case",""))</t>
  </si>
  <si>
    <t>=IF(EXACT(H2,PROPER(H2)),"","Billing Street - casing")</t>
  </si>
  <si>
    <t>=IF(EXACT(I2,PROPER(I2)),"","City - casing")</t>
  </si>
  <si>
    <t>=IF(OR(ISNUMBER(SEARCH("St.",I2)),ISNUMBER(SEARCH("St ",I2))),"Check St in city field",IF(RIGHT(I2,1)=".","Dot found in city field",""))</t>
  </si>
  <si>
    <t>=IF((SUMPRODUCT(--ISNUMBER(SEARCH({"!","@","#","$","%","^","&amp;","~*","(",")","_","+","=","{","}","[","]","|","\",":",";","'","""","&lt;","&gt;",",",".","~?","/","~~","`"}, I2)))&gt;0)=TRUE,"Special Characters Found in City","")</t>
  </si>
  <si>
    <t>=IF((SUMPRODUCT(--ISNUMBER(SEARCH({"!","@","#","$","%","^","~*","(",")","_","+","=","{","}","[","]","|","\",":",";","'","""","&lt;","&gt;","~?","/","~~","`"},F2)))&gt;0)=TRUE,"Special Characters Found in Account field","")</t>
  </si>
  <si>
    <t>=IF(SUM(--ISNUMBER(SEARCH({1,2,3,4,5,6,7,8,9,0},MID(H2,(SEARCH(" E ",H2)-1),1))))+SUM(--ISNUMBER(SEARCH({1,2,3,4,5,6,7,8,9,0},MID(H2,(SEARCH(" E ",H2)+3),1))))=2,"",IF(SUM(--ISNUMBER(SEARCH({"Parte E","Apoquindo N"},H2)))&gt;0,"",IF(OR(RIGHT(H2,3)=" NE",RIGHT(H2,3)=" NW",RIGHT(H2,3)=" SW",RIGHT(H2,3)=" SE",RIGHT(H2,2)=" N",RIGHT(H2,2)=" E",RIGHT(H2,2)=" W",RIGHT(H2,2)=" S",LEFT(H2,3)="NE ",LEFT(H2,3)="NW ",LEFT(H2,3)="SW ",LEFT(H2,3)="SE ",LEFT(H2,2)="N ",LEFT(H2,2)="E ",LEFT(H2,2)="W ",LEFT(H2,2)="S "),"Directional Check",IF(SUM(--ISNUMBER(SEARCH({" N "," E "," W "," S "," NE "," NW "," SW "," SE ","N.E","N.W","S.W","S.E","E.","N.","S.","W."},H2)))&gt;0,"Directional Check",IF(SUM(--ISNUMBER(SEARCH({1,2,3,4,5,6,7,8,9,0},MID(H2,(SEARCH("nd ",H2)-1),1))))+SUM(--ISNUMBER(SEARCH({1,2,3,4,5,6,7,8,9,0},MID(H2,(SEARCH("rd ",H2)-1),1)))+SUM(--ISNUMBER(SEARCH({1,2,3,4,5,6,7,8,9,0},MID(H2,(SEARCH("st ",H2)-1),1))))+SUM(--ISNUMBER(SEARCH({1,2,3,4,5,6,7,8,9,0},MID(H2,(SEARCH("th ",H2)-1),1)))))&gt;0,"","")))))</t>
  </si>
  <si>
    <t>=IF(IF(L2="US",IFERROR(VLOOKUP(J2,'Country Codes'!$B:$B,1,0)=J2,"US State Code Error"),IF(L2="CA",IFERROR(VLOOKUP(J2,'Country Codes'!$E:$E,1,0)=J2,"Canada State Code Error"),IF(L2="BR",IFERROR(VLOOKUP(J2,'Country Codes'!$H:$H,1,0)=J2,"Brazil State Code Error"),IF(L2="AU",IFERROR(VLOOKUP(J2,'Country Codes'!$K:$K,1,0)=J2,"Australia State Code Error"),""))))=TRUE,"",IF(L2="US",IFERROR(VLOOKUP(J2,'Country Codes'!$B:$B,1,0)=J2,"US State Code Error"),IF(L2="CA",IFERROR(VLOOKUP(J2,'Country Codes'!$E:$E,1,0)=J2,"Canada State Code Error"),IF(L2="BR",IFERROR(VLOOKUP(J2,'Country Codes'!$H:$H,1,0)=J2,"Brazil State Code Error"),IF(L2="AU",IFERROR(VLOOKUP(J2,'Country Codes'!$K:$K,1,0)=J2,"Australia State Code Error"),"")))))</t>
  </si>
  <si>
    <t>=IF(OR(L2="US",L2="CA",L2="BR",L2="AU"),IF((EXACT(UPPER(J2),J2)),"","Country Code Casing"),IF(EXACT(J2,PROPER(J2)),"","Billing State casing"))</t>
  </si>
  <si>
    <t>=IFERROR(IFS(IF(AND(LEN(I2)=0,ISBLANK(I2)=FALSE),"",ISNUMBER(SEARCH(I2,H2))),"City/Postal Code/Country Found in Address",IF(AND(LEN(K2)=0,ISBLANK(K2)=FALSE),"",ISNUMBER(SEARCH(K2,H2))),"City/Postal Code/Country Found in Address",IF(AND(LEN(L2)=0,ISBLANK(L2)=FALSE),"",ISNUMBER(SEARCH(", "&amp;L2,H2))),"City/Postal Code/Country Found in Address",IF(AND(LEN(J2)=0,ISBLANK(J2)=FALSE),"",ISNUMBER(SEARCH(", "&amp;J2,H2))),"City/Postal Code/Country Found in Address",IF(AND(LEN(L2)=0,ISBLANK(L2)=FALSE),"",ISNUMBER(SEARCH(","&amp;L2,H2))),"City/Postal Code/Country Found in Address",IF(AND(LEN(J2)=0,ISBLANK(J2)=FALSE),"",ISNUMBER(SEARCH(","&amp;J2,H2))),"City/Postal Code/Country Found in Address"),"")</t>
  </si>
  <si>
    <t>=IF(ISNUMBER(SEARCH("PO",N2)),"PO# Entered in Tax ID Field","")</t>
  </si>
  <si>
    <t>=IFERROR(IF(VLOOKUP(LEFT(M2,MIN(SEARCH({1,2,3,4,5,6,7,8,9,0},M2&amp;{1,2,3,4,5,6,7,8,9,0}))-1),'Country Codes'!$N:$N,1,0)&gt;0,"PO Number may be incorrect",""),"")</t>
  </si>
  <si>
    <t>=IF(N2="","",IF(EXACT(L2,LEFT(N2,2)),IF(EXACT(MID(N2,3,1)," "),"Check the Space inbetween County code &amp; VAT",""),"Check the VAT Country Code Format"))</t>
  </si>
  <si>
    <t>=IF((ISNUMBER(SEARCH("@",P2)))&gt;0,"",IF(IF(--(ISNUMBER(SEARCH("'",P2)))&gt;0,OR(EXACT(PROPER(P2),P2),EXACT((PROPER(LEFT(P2,FIND("'",P2)-2))&amp;LOWER(MID(P2,FIND("'",P2)-1,1))&amp;PROPER(MID(P2,FIND("'",P2)+0,LEN(P2)-FIND("'",P2)+1))),P2)),"Please check Billing Contact Casing")=TRUE,"","Please check Billing Contact casing"))</t>
  </si>
  <si>
    <t>=IF(OR(L2="AS",L2="FM",L2="GU",L2="MH",L2="MP",L2="PW",L2="PR",L2="VI",L2="UM"),"US Territories Check","")</t>
  </si>
  <si>
    <t>=IF(G2="","",IFNA(IFS(L2=VLOOKUP(L2,'Country Codes'!$M:$M,1,0)=TRUE,""),"Please check the country code"))</t>
  </si>
  <si>
    <t>Formula Applied in the Account Profile Audit Sheet</t>
  </si>
  <si>
    <t>bozeman</t>
  </si>
  <si>
    <t>Sample flow, inc.</t>
  </si>
  <si>
    <t>Sample Partners</t>
  </si>
  <si>
    <t>Main Street</t>
  </si>
  <si>
    <t>Sample Flow, inc.</t>
  </si>
  <si>
    <t>Sample Flow, Inc.</t>
  </si>
  <si>
    <t>50000 N Street</t>
  </si>
  <si>
    <t>50000 Street</t>
  </si>
  <si>
    <t>Bozeman!</t>
  </si>
  <si>
    <t>=IF(S2="","",S2&amp;"; ")&amp;IF(T2="","",T2&amp;"; ")&amp;IF(U2="","",U2&amp;"; ")&amp;IF(V2="","",V2&amp;"; ")&amp;IF(AF2="","",AF2&amp;"; ")&amp;IF(AG2="","",AG2&amp;"; ")&amp;IF(AH2="","",AH2&amp;"; ")&amp;IF(AL2="","",AL2&amp;"; ")&amp;IF(Z2="","",Z2&amp;"; ")&amp;IF(AA2="","",AA2&amp;"; ")&amp;IF(AB2="","",AB2&amp;"; ")&amp;IF(AC2="","",AC2&amp;"; ")&amp;IF(AD2="","",AD2&amp;"; ")&amp;IF(AE2="","",AE2&amp;"; ")&amp;IF(AJ2="","",AJ2&amp;"; ")&amp;IF(AK2="","",AK2&amp;"; ")&amp;IF(AI2="","",AI2&amp;"; ")&amp;IF(W2="","",W2&amp;"; ")&amp;IF(X2="","",X2&amp;"; ")&amp;IF(Y2="","",Y2&amp;"; ")</t>
  </si>
  <si>
    <t>Account_Lower Case__Flag</t>
  </si>
  <si>
    <t>Account_Upper Case_Flag</t>
  </si>
  <si>
    <t>Billing Street_ProperCase_Flag</t>
  </si>
  <si>
    <t>Billing City_ProperCase_Flag</t>
  </si>
  <si>
    <t>Billing_City_Saint_Flag</t>
  </si>
  <si>
    <t>Billing_City_Special_Char_Flag</t>
  </si>
  <si>
    <t>Account_Special_Char_Flag</t>
  </si>
  <si>
    <t>Address1_Directionals_Flag</t>
  </si>
  <si>
    <t>State_Code_Flag</t>
  </si>
  <si>
    <t>State_Upper_Case_Flag</t>
  </si>
  <si>
    <t>Address_Flag</t>
  </si>
  <si>
    <t>Incorrect_TaxID_Field_Flag</t>
  </si>
  <si>
    <t>Incorrect_PO#_Flag</t>
  </si>
  <si>
    <t>Tax ID_VAT_Validation</t>
  </si>
  <si>
    <t>Contact_ProperCase_Flag</t>
  </si>
  <si>
    <t>US_Territories_Flag</t>
  </si>
  <si>
    <t>Consolidate_Error_Remarks</t>
  </si>
  <si>
    <t>Audited_Status</t>
  </si>
  <si>
    <t>Country_Code_Flag</t>
  </si>
  <si>
    <t>Total Records</t>
  </si>
  <si>
    <t>Clean Records</t>
  </si>
  <si>
    <t>Casing</t>
  </si>
  <si>
    <t>Abbreviation</t>
  </si>
  <si>
    <t>Incorrect</t>
  </si>
  <si>
    <t>Format</t>
  </si>
  <si>
    <t>Issue Records</t>
  </si>
  <si>
    <t>Unique_Record_Flag</t>
  </si>
  <si>
    <t>Unique Records</t>
  </si>
  <si>
    <t>Avg. Issue/Rec</t>
  </si>
  <si>
    <t>Error Category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</si>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</sst>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b/>
      <sz val="8"/>
      <color rgb="FF212529"/>
      <name val="Segoe UI"/>
      <family val="2"/>
    </font>
    <font>
      <sz val="8"/>
      <color rgb="FF212529"/>
      <name val="Segoe UI"/>
      <family val="2"/>
    </font>
    <font>
      <sz val="12"/>
      <color rgb="FF000000"/>
      <name val="Calibri"/>
      <family val="2"/>
    </font>
    <font>
      <sz val="11"/>
      <color rgb="FF006100"/>
      <name val="Calibri"/>
      <family val="2"/>
      <scheme val="minor"/>
    </font>
    <font>
      <sz val="10.5"/>
      <color rgb="FF000000"/>
      <name val="DM Sans"/>
    </font>
    <font>
      <sz val="12"/>
      <color theme="0"/>
      <name val="Calibri"/>
      <family val="2"/>
    </font>
    <font>
      <sz val="12"/>
      <color indexed="8"/>
      <name val="Aptos"/>
      <family val="2"/>
    </font>
    <font>
      <b/>
      <sz val="11"/>
      <color indexed="8"/>
      <name val="Calibri"/>
      <family val="2"/>
      <scheme val="minor"/>
    </font>
    <font>
      <sz val="12"/>
      <color rgb="FF56585B"/>
      <name val="Calibri"/>
      <family val="2"/>
    </font>
    <font>
      <sz val="11"/>
      <color indexed="8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7"/>
      <color theme="0" tint="-0.499984740745262"/>
      <name val="Calibri"/>
      <family val="2"/>
      <scheme val="minor"/>
    </font>
    <font>
      <sz val="12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7F7F7"/>
        <bgColor indexed="64"/>
      </patternFill>
    </fill>
    <fill>
      <patternFill patternType="solid">
        <fgColor rgb="FFC6EFCE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3D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9" fillId="9" borderId="0" applyNumberFormat="0" applyBorder="0" applyAlignment="0" applyProtection="0"/>
    <xf numFmtId="9" fontId="15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/>
    <xf numFmtId="0" fontId="0" fillId="4" borderId="0" xfId="0" applyFill="1"/>
    <xf numFmtId="49" fontId="0" fillId="0" borderId="0" xfId="0" applyNumberFormat="1" applyAlignment="1">
      <alignment vertical="center" wrapText="1"/>
    </xf>
    <xf numFmtId="49" fontId="0" fillId="0" borderId="0" xfId="0" quotePrefix="1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indent="2"/>
    </xf>
    <xf numFmtId="0" fontId="4" fillId="0" borderId="1" xfId="0" applyFont="1" applyBorder="1" applyAlignment="1">
      <alignment horizontal="left"/>
    </xf>
    <xf numFmtId="0" fontId="5" fillId="0" borderId="0" xfId="0" applyFont="1"/>
    <xf numFmtId="0" fontId="3" fillId="3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5" fillId="0" borderId="1" xfId="1" applyFont="1" applyFill="1" applyBorder="1" applyAlignment="1">
      <alignment horizontal="left"/>
    </xf>
    <xf numFmtId="0" fontId="10" fillId="0" borderId="0" xfId="0" applyFont="1" applyAlignment="1">
      <alignment vertical="center"/>
    </xf>
    <xf numFmtId="0" fontId="0" fillId="6" borderId="0" xfId="0" applyFill="1"/>
    <xf numFmtId="0" fontId="2" fillId="7" borderId="1" xfId="0" applyFont="1" applyFill="1" applyBorder="1"/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wrapText="1"/>
    </xf>
    <xf numFmtId="0" fontId="6" fillId="8" borderId="7" xfId="0" applyFont="1" applyFill="1" applyBorder="1" applyAlignment="1">
      <alignment horizontal="left" vertical="top"/>
    </xf>
    <xf numFmtId="0" fontId="7" fillId="8" borderId="7" xfId="0" applyFont="1" applyFill="1" applyBorder="1" applyAlignment="1">
      <alignment vertical="top"/>
    </xf>
    <xf numFmtId="0" fontId="7" fillId="5" borderId="7" xfId="0" applyFont="1" applyFill="1" applyBorder="1" applyAlignment="1">
      <alignment vertical="top"/>
    </xf>
    <xf numFmtId="0" fontId="0" fillId="0" borderId="7" xfId="0" applyBorder="1"/>
    <xf numFmtId="0" fontId="12" fillId="0" borderId="0" xfId="0" quotePrefix="1" applyFont="1" applyAlignment="1">
      <alignment vertical="center"/>
    </xf>
    <xf numFmtId="0" fontId="4" fillId="5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13" fillId="4" borderId="0" xfId="0" applyFont="1" applyFill="1"/>
    <xf numFmtId="0" fontId="13" fillId="0" borderId="0" xfId="0" applyFont="1"/>
    <xf numFmtId="0" fontId="14" fillId="2" borderId="1" xfId="0" applyFont="1" applyFill="1" applyBorder="1"/>
    <xf numFmtId="0" fontId="4" fillId="5" borderId="4" xfId="0" quotePrefix="1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 vertical="center"/>
    </xf>
    <xf numFmtId="9" fontId="0" fillId="4" borderId="0" xfId="2" applyFont="1" applyFill="1"/>
    <xf numFmtId="0" fontId="18" fillId="4" borderId="0" xfId="0" applyFont="1" applyFill="1" applyAlignment="1">
      <alignment horizontal="center"/>
    </xf>
    <xf numFmtId="0" fontId="19" fillId="5" borderId="0" xfId="0" applyFont="1" applyFill="1" applyAlignment="1">
      <alignment horizontal="center" vertical="center"/>
    </xf>
    <xf numFmtId="0" fontId="20" fillId="4" borderId="0" xfId="0" applyFont="1" applyFill="1"/>
    <xf numFmtId="0" fontId="21" fillId="4" borderId="0" xfId="0" applyFont="1" applyFill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3">
    <cellStyle name="Good" xfId="1" builtinId="2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Error Distribution</a:t>
            </a:r>
          </a:p>
        </c:rich>
      </c:tx>
      <c:layout>
        <c:manualLayout>
          <c:xMode val="edge"/>
          <c:yMode val="edge"/>
          <c:x val="0.21112398238355798"/>
          <c:y val="1.20532011214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69589550333445"/>
          <c:y val="0.20146925674457275"/>
          <c:w val="0.8422353626030209"/>
          <c:h val="0.45928390698345395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Account_Profile_Audit!$AS$2:$AV$2</c15:sqref>
                  </c15:fullRef>
                </c:ext>
              </c:extLst>
              <c:f>(Account_Profile_Audit!$AS$2:$AT$2,Account_Profile_Audit!$AV$2)</c:f>
              <c:strCache>
                <c:ptCount val="3"/>
                <c:pt idx="0">
                  <c:v>Casing</c:v>
                </c:pt>
                <c:pt idx="1">
                  <c:v>Abbreviation</c:v>
                </c:pt>
                <c:pt idx="2">
                  <c:v>Format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Account_Profile_Audit!$AS$3:$AV$3</c15:sqref>
                  </c15:fullRef>
                </c:ext>
              </c:extLst>
              <c:f>(Account_Profile_Audit!$AS$3:$AT$3,Account_Profile_Audit!$AV$3)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CA-4944-B936-36912613E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815895968"/>
        <c:axId val="1815883008"/>
      </c:barChart>
      <c:catAx>
        <c:axId val="181589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83008"/>
        <c:crosses val="autoZero"/>
        <c:auto val="1"/>
        <c:lblAlgn val="ctr"/>
        <c:lblOffset val="100"/>
        <c:noMultiLvlLbl val="0"/>
      </c:catAx>
      <c:valAx>
        <c:axId val="181588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9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19017323170698"/>
          <c:y val="0.19291646564538087"/>
          <c:w val="0.50327089795593738"/>
          <c:h val="0.6179695450310468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19-4519-97CE-9F25C5BBA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8E-4D99-9D6E-16D6EC4BBAC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9-4519-97CE-9F25C5BBA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(Dashboard!$F$6,Dashboard!$I$6)</c:f>
              <c:strCache>
                <c:ptCount val="2"/>
                <c:pt idx="0">
                  <c:v>Clean Records</c:v>
                </c:pt>
                <c:pt idx="1">
                  <c:v>Issue Records</c:v>
                </c:pt>
              </c:strCache>
            </c:strRef>
          </c:cat>
          <c:val>
            <c:numRef>
              <c:f>(Dashboard!$F$7,Dashboard!$I$7)</c:f>
              <c:numCache>
                <c:formatCode>General</c:formatCode>
                <c:ptCount val="2"/>
                <c:pt idx="0">
                  <c:v>18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9-4519-97CE-9F25C5BBA28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35719</xdr:colOff>
      <xdr:row>0</xdr:row>
      <xdr:rowOff>57150</xdr:rowOff>
    </xdr:from>
    <xdr:to>
      <xdr:col>12</xdr:col>
      <xdr:colOff>17859</xdr:colOff>
      <xdr:row>2</xdr:row>
      <xdr:rowOff>154781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6F351C1-CE53-359A-3ADD-B39A90AD5517}"/>
            </a:ext>
          </a:extLst>
        </xdr:cNvPr>
        <xdr:cNvSpPr/>
      </xdr:nvSpPr>
      <xdr:spPr>
        <a:xfrm>
          <a:off x="190500" y="57150"/>
          <a:ext cx="5042297" cy="478631"/>
        </a:xfrm>
        <a:prstGeom prst="roundRect">
          <a:avLst>
            <a:gd name="adj" fmla="val 5129"/>
          </a:avLst>
        </a:pr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Account Profile Audit Dashboard</a:t>
          </a:r>
        </a:p>
      </xdr:txBody>
    </xdr:sp>
    <xdr:clientData/>
  </xdr:twoCellAnchor>
  <xdr:twoCellAnchor>
    <xdr:from>
      <xdr:col>1</xdr:col>
      <xdr:colOff>55648</xdr:colOff>
      <xdr:row>4</xdr:row>
      <xdr:rowOff>59532</xdr:rowOff>
    </xdr:from>
    <xdr:to>
      <xdr:col>3</xdr:col>
      <xdr:colOff>4658</xdr:colOff>
      <xdr:row>7</xdr:row>
      <xdr:rowOff>185738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E11AAC9-F206-001D-5CCB-B9A33FBE1E82}"/>
            </a:ext>
          </a:extLst>
        </xdr:cNvPr>
        <xdr:cNvGrpSpPr/>
      </xdr:nvGrpSpPr>
      <xdr:grpSpPr>
        <a:xfrm>
          <a:off x="208048" y="697707"/>
          <a:ext cx="1349185" cy="773906"/>
          <a:chOff x="200090" y="762000"/>
          <a:chExt cx="1165013" cy="655721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03C51194-3127-FD67-C471-277192D64F22}"/>
              </a:ext>
            </a:extLst>
          </xdr:cNvPr>
          <xdr:cNvSpPr/>
        </xdr:nvSpPr>
        <xdr:spPr>
          <a:xfrm>
            <a:off x="200090" y="762000"/>
            <a:ext cx="1165013" cy="655721"/>
          </a:xfrm>
          <a:prstGeom prst="roundRect">
            <a:avLst>
              <a:gd name="adj" fmla="val 3552"/>
            </a:avLst>
          </a:pr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556D5FB-C8E5-F19E-3E20-8489FE63A4E0}"/>
              </a:ext>
            </a:extLst>
          </xdr:cNvPr>
          <xdr:cNvSpPr/>
        </xdr:nvSpPr>
        <xdr:spPr>
          <a:xfrm>
            <a:off x="202219" y="767679"/>
            <a:ext cx="1162533" cy="45719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49694</xdr:colOff>
      <xdr:row>5</xdr:row>
      <xdr:rowOff>0</xdr:rowOff>
    </xdr:from>
    <xdr:to>
      <xdr:col>6</xdr:col>
      <xdr:colOff>5952</xdr:colOff>
      <xdr:row>8</xdr:row>
      <xdr:rowOff>19050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FFA7780-AC61-4C74-AD93-E1CD969309D9}"/>
            </a:ext>
          </a:extLst>
        </xdr:cNvPr>
        <xdr:cNvGrpSpPr/>
      </xdr:nvGrpSpPr>
      <xdr:grpSpPr>
        <a:xfrm>
          <a:off x="1659419" y="723900"/>
          <a:ext cx="1356433" cy="771525"/>
          <a:chOff x="200090" y="762000"/>
          <a:chExt cx="1165013" cy="655721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8A39808F-9B30-B6C0-F92F-6D5ACA1BE1DB}"/>
              </a:ext>
            </a:extLst>
          </xdr:cNvPr>
          <xdr:cNvSpPr/>
        </xdr:nvSpPr>
        <xdr:spPr>
          <a:xfrm>
            <a:off x="200090" y="762000"/>
            <a:ext cx="1165013" cy="655721"/>
          </a:xfrm>
          <a:prstGeom prst="roundRect">
            <a:avLst>
              <a:gd name="adj" fmla="val 3552"/>
            </a:avLst>
          </a:pr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D74387FB-8A3B-0D16-3BC4-F6834020CBCB}"/>
              </a:ext>
            </a:extLst>
          </xdr:cNvPr>
          <xdr:cNvSpPr/>
        </xdr:nvSpPr>
        <xdr:spPr>
          <a:xfrm>
            <a:off x="202219" y="767679"/>
            <a:ext cx="1162533" cy="45719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49694</xdr:colOff>
      <xdr:row>5</xdr:row>
      <xdr:rowOff>0</xdr:rowOff>
    </xdr:from>
    <xdr:to>
      <xdr:col>9</xdr:col>
      <xdr:colOff>5952</xdr:colOff>
      <xdr:row>8</xdr:row>
      <xdr:rowOff>19050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29DA8900-9B26-4FCE-8883-B03D042CBED0}"/>
            </a:ext>
          </a:extLst>
        </xdr:cNvPr>
        <xdr:cNvGrpSpPr/>
      </xdr:nvGrpSpPr>
      <xdr:grpSpPr>
        <a:xfrm>
          <a:off x="3116744" y="723900"/>
          <a:ext cx="1356433" cy="771525"/>
          <a:chOff x="200090" y="762000"/>
          <a:chExt cx="1165013" cy="655721"/>
        </a:xfrm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FFF5D7BF-6A8B-ABE1-DBA1-0C5B9A19A8FA}"/>
              </a:ext>
            </a:extLst>
          </xdr:cNvPr>
          <xdr:cNvSpPr/>
        </xdr:nvSpPr>
        <xdr:spPr>
          <a:xfrm>
            <a:off x="200090" y="762000"/>
            <a:ext cx="1165013" cy="655721"/>
          </a:xfrm>
          <a:prstGeom prst="roundRect">
            <a:avLst>
              <a:gd name="adj" fmla="val 3552"/>
            </a:avLst>
          </a:pr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A310021-8F48-FFDB-4885-21106C7654C4}"/>
              </a:ext>
            </a:extLst>
          </xdr:cNvPr>
          <xdr:cNvSpPr/>
        </xdr:nvSpPr>
        <xdr:spPr>
          <a:xfrm>
            <a:off x="202219" y="767679"/>
            <a:ext cx="1162533" cy="45719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49694</xdr:colOff>
      <xdr:row>5</xdr:row>
      <xdr:rowOff>0</xdr:rowOff>
    </xdr:from>
    <xdr:to>
      <xdr:col>12</xdr:col>
      <xdr:colOff>5952</xdr:colOff>
      <xdr:row>8</xdr:row>
      <xdr:rowOff>19050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48E33B38-414A-48F1-AF70-099C93DFDEE6}"/>
            </a:ext>
          </a:extLst>
        </xdr:cNvPr>
        <xdr:cNvGrpSpPr/>
      </xdr:nvGrpSpPr>
      <xdr:grpSpPr>
        <a:xfrm>
          <a:off x="4574069" y="723900"/>
          <a:ext cx="1356433" cy="771525"/>
          <a:chOff x="200090" y="762000"/>
          <a:chExt cx="1165013" cy="655721"/>
        </a:xfrm>
      </xdr:grpSpPr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A2CDC08A-D648-2C13-05D5-FE6CAD66AFC7}"/>
              </a:ext>
            </a:extLst>
          </xdr:cNvPr>
          <xdr:cNvSpPr/>
        </xdr:nvSpPr>
        <xdr:spPr>
          <a:xfrm>
            <a:off x="200090" y="762000"/>
            <a:ext cx="1165013" cy="655721"/>
          </a:xfrm>
          <a:prstGeom prst="roundRect">
            <a:avLst>
              <a:gd name="adj" fmla="val 3552"/>
            </a:avLst>
          </a:pr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B82B7574-EF68-30FA-C905-4BC48C08D324}"/>
              </a:ext>
            </a:extLst>
          </xdr:cNvPr>
          <xdr:cNvSpPr/>
        </xdr:nvSpPr>
        <xdr:spPr>
          <a:xfrm>
            <a:off x="202219" y="767679"/>
            <a:ext cx="1162533" cy="45719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47625</xdr:colOff>
      <xdr:row>8</xdr:row>
      <xdr:rowOff>121526</xdr:rowOff>
    </xdr:from>
    <xdr:to>
      <xdr:col>12</xdr:col>
      <xdr:colOff>0</xdr:colOff>
      <xdr:row>19</xdr:row>
      <xdr:rowOff>161925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D0CC298-9AEA-4506-B573-53283909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38101</xdr:colOff>
      <xdr:row>8</xdr:row>
      <xdr:rowOff>123825</xdr:rowOff>
    </xdr:from>
    <xdr:to>
      <xdr:col>5</xdr:col>
      <xdr:colOff>1123950</xdr:colOff>
      <xdr:row>19</xdr:row>
      <xdr:rowOff>104776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7A0B18A-442F-93AE-BB05-15B905956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866775</xdr:colOff>
      <xdr:row>12</xdr:row>
      <xdr:rowOff>161924</xdr:rowOff>
    </xdr:from>
    <xdr:to>
      <xdr:col>5</xdr:col>
      <xdr:colOff>276224</xdr:colOff>
      <xdr:row>15</xdr:row>
      <xdr:rowOff>133349</xdr:rowOff>
    </xdr:to>
    <xdr:sp macro="" textlink="$C$2">
      <xdr:nvSpPr>
        <xdr:cNvPr id="30" name="Rectangle: Rounded Corners 29">
          <a:extLst>
            <a:ext uri="{FF2B5EF4-FFF2-40B4-BE49-F238E27FC236}">
              <a16:creationId xmlns:a16="http://schemas.microsoft.com/office/drawing/2014/main" id="{075C71BE-63DA-2C90-C0C4-A97EFF017B3E}"/>
            </a:ext>
          </a:extLst>
        </xdr:cNvPr>
        <xdr:cNvSpPr/>
      </xdr:nvSpPr>
      <xdr:spPr>
        <a:xfrm>
          <a:off x="1076325" y="2371724"/>
          <a:ext cx="685799" cy="5429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BBBD705-EC30-4DD5-8813-29AA063506D9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Clean 75.00%</a:t>
          </a:fld>
          <a:endParaRPr lang="en-US" sz="1100" b="1"/>
        </a:p>
      </xdr:txBody>
    </xdr:sp>
    <xdr:clientData/>
  </xdr:twoCellAnchor>
  <xdr:twoCellAnchor>
    <xdr:from>
      <xdr:col>2</xdr:col>
      <xdr:colOff>552450</xdr:colOff>
      <xdr:row>8</xdr:row>
      <xdr:rowOff>142875</xdr:rowOff>
    </xdr:from>
    <xdr:to>
      <xdr:col>5</xdr:col>
      <xdr:colOff>619125</xdr:colOff>
      <xdr:row>10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0F42E16-25C3-0290-CA16-C6867657BD06}"/>
            </a:ext>
          </a:extLst>
        </xdr:cNvPr>
        <xdr:cNvSpPr txBox="1"/>
      </xdr:nvSpPr>
      <xdr:spPr>
        <a:xfrm>
          <a:off x="762000" y="1619250"/>
          <a:ext cx="15240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i="0" u="none" strike="noStrike" kern="1200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rPr>
            <a:t>CLEAN</a:t>
          </a:r>
          <a:r>
            <a:rPr lang="en-US" sz="1100">
              <a:solidFill>
                <a:srgbClr val="595959"/>
              </a:solidFill>
            </a:rPr>
            <a:t> </a:t>
          </a:r>
          <a:r>
            <a:rPr lang="en-US" sz="1100" b="1" i="0" u="none" strike="noStrike" kern="1200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rPr>
            <a:t>RECORDS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rnan, Jeeva" id="{913908A4-954A-4107-BC57-F8641C943881}" userId="S::Jeeva.Karnan@datasite.com::4bba2dcd-bff5-467a-b716-db879cc3925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153" dT="2024-11-28T12:59:16.74" personId="{913908A4-954A-4107-BC57-F8641C943881}" id="{0693DA78-F997-424A-8D30-A205E49644EF}">
    <text>Client requested to retained as NE not northeast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3439-0270-4A71-A66E-12592F58C900}">
  <sheetPr codeName="Sheet2"/>
  <dimension ref="A1:B15"/>
  <sheetViews>
    <sheetView zoomScale="85" zoomScaleNormal="85" workbookViewId="0"/>
  </sheetViews>
  <sheetFormatPr defaultRowHeight="15" x14ac:dyDescent="0.25"/>
  <cols>
    <col min="1" max="1" width="29.140625" customWidth="1"/>
    <col min="2" max="2" width="123.85546875" customWidth="1"/>
  </cols>
  <sheetData>
    <row r="1" spans="1:2" ht="15.75" x14ac:dyDescent="0.25">
      <c r="A1" s="1" t="s">
        <v>14</v>
      </c>
      <c r="B1" s="3" t="s">
        <v>22</v>
      </c>
    </row>
    <row r="2" spans="1:2" ht="35.450000000000003" customHeight="1" x14ac:dyDescent="0.25">
      <c r="A2" s="1" t="s">
        <v>15</v>
      </c>
      <c r="B2" s="3" t="s">
        <v>16</v>
      </c>
    </row>
    <row r="3" spans="1:2" ht="15.75" x14ac:dyDescent="0.25">
      <c r="A3" s="1"/>
      <c r="B3" s="3" t="s">
        <v>17</v>
      </c>
    </row>
    <row r="4" spans="1:2" ht="30" x14ac:dyDescent="0.25">
      <c r="A4" s="1"/>
      <c r="B4" s="4" t="s">
        <v>18</v>
      </c>
    </row>
    <row r="5" spans="1:2" ht="15.75" x14ac:dyDescent="0.25">
      <c r="A5" s="1"/>
      <c r="B5" s="3" t="s">
        <v>19</v>
      </c>
    </row>
    <row r="6" spans="1:2" ht="15.75" x14ac:dyDescent="0.25">
      <c r="A6" s="1"/>
      <c r="B6" s="3" t="s">
        <v>20</v>
      </c>
    </row>
    <row r="7" spans="1:2" ht="15.75" x14ac:dyDescent="0.25">
      <c r="A7" s="1"/>
      <c r="B7" s="3"/>
    </row>
    <row r="8" spans="1:2" ht="15.75" x14ac:dyDescent="0.25">
      <c r="A8" s="1" t="s">
        <v>21</v>
      </c>
      <c r="B8" s="5"/>
    </row>
    <row r="9" spans="1:2" ht="30" x14ac:dyDescent="0.25">
      <c r="A9" s="6" t="s">
        <v>3</v>
      </c>
      <c r="B9" s="3" t="s">
        <v>23</v>
      </c>
    </row>
    <row r="10" spans="1:2" ht="30" x14ac:dyDescent="0.25">
      <c r="A10" s="6" t="s">
        <v>477</v>
      </c>
      <c r="B10" s="3" t="s">
        <v>24</v>
      </c>
    </row>
    <row r="11" spans="1:2" ht="15.75" x14ac:dyDescent="0.25">
      <c r="A11" s="6" t="s">
        <v>478</v>
      </c>
      <c r="B11" s="3" t="s">
        <v>25</v>
      </c>
    </row>
    <row r="12" spans="1:2" ht="15.75" x14ac:dyDescent="0.25">
      <c r="A12" s="6" t="s">
        <v>479</v>
      </c>
      <c r="B12" s="3" t="s">
        <v>26</v>
      </c>
    </row>
    <row r="13" spans="1:2" ht="15.75" x14ac:dyDescent="0.25">
      <c r="A13" s="6" t="s">
        <v>480</v>
      </c>
      <c r="B13" s="3" t="s">
        <v>29</v>
      </c>
    </row>
    <row r="14" spans="1:2" ht="45" x14ac:dyDescent="0.25">
      <c r="A14" s="6" t="s">
        <v>10</v>
      </c>
      <c r="B14" s="3" t="s">
        <v>27</v>
      </c>
    </row>
    <row r="15" spans="1:2" ht="15.75" x14ac:dyDescent="0.25">
      <c r="A15" s="6" t="s">
        <v>481</v>
      </c>
      <c r="B15" s="3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E0C9-AD45-40B9-9C58-BC1FCF6786D4}">
  <sheetPr codeName="Sheet4"/>
  <dimension ref="A1:E21"/>
  <sheetViews>
    <sheetView zoomScale="70" zoomScaleNormal="70" workbookViewId="0">
      <selection activeCell="D25" sqref="D25"/>
    </sheetView>
  </sheetViews>
  <sheetFormatPr defaultRowHeight="15" x14ac:dyDescent="0.25"/>
  <cols>
    <col min="2" max="2" width="43.28515625" customWidth="1"/>
    <col min="3" max="3" width="95" customWidth="1"/>
    <col min="4" max="4" width="170.85546875" customWidth="1"/>
  </cols>
  <sheetData>
    <row r="1" spans="1:5" ht="21.6" customHeight="1" x14ac:dyDescent="0.25">
      <c r="A1" s="29" t="s">
        <v>431</v>
      </c>
      <c r="B1" s="29" t="s">
        <v>429</v>
      </c>
      <c r="C1" s="29" t="s">
        <v>430</v>
      </c>
      <c r="D1" s="29" t="s">
        <v>537</v>
      </c>
    </row>
    <row r="2" spans="1:5" ht="15.75" x14ac:dyDescent="0.25">
      <c r="A2" s="21">
        <v>1</v>
      </c>
      <c r="B2" s="9" t="s">
        <v>574</v>
      </c>
      <c r="C2" s="17" t="s">
        <v>444</v>
      </c>
      <c r="D2" s="28" t="s">
        <v>519</v>
      </c>
      <c r="E2" s="27"/>
    </row>
    <row r="3" spans="1:5" ht="15.75" x14ac:dyDescent="0.25">
      <c r="A3" s="21">
        <f>A2+1</f>
        <v>2</v>
      </c>
      <c r="B3" s="9" t="s">
        <v>549</v>
      </c>
      <c r="C3" s="17" t="s">
        <v>432</v>
      </c>
      <c r="D3" s="28" t="s">
        <v>520</v>
      </c>
      <c r="E3" s="27"/>
    </row>
    <row r="4" spans="1:5" ht="15.75" x14ac:dyDescent="0.25">
      <c r="A4" s="21">
        <f t="shared" ref="A4:A21" si="0">A3+1</f>
        <v>3</v>
      </c>
      <c r="B4" s="9" t="s">
        <v>548</v>
      </c>
      <c r="C4" s="17" t="s">
        <v>433</v>
      </c>
      <c r="D4" s="28" t="s">
        <v>521</v>
      </c>
      <c r="E4" s="27"/>
    </row>
    <row r="5" spans="1:5" ht="15.75" x14ac:dyDescent="0.25">
      <c r="A5" s="21">
        <f t="shared" si="0"/>
        <v>4</v>
      </c>
      <c r="B5" s="9" t="s">
        <v>550</v>
      </c>
      <c r="C5" s="17" t="s">
        <v>434</v>
      </c>
      <c r="D5" s="28" t="s">
        <v>522</v>
      </c>
      <c r="E5" s="27"/>
    </row>
    <row r="6" spans="1:5" ht="15.75" x14ac:dyDescent="0.25">
      <c r="A6" s="21">
        <f t="shared" si="0"/>
        <v>5</v>
      </c>
      <c r="B6" s="9" t="s">
        <v>551</v>
      </c>
      <c r="C6" s="17" t="s">
        <v>435</v>
      </c>
      <c r="D6" s="28" t="s">
        <v>523</v>
      </c>
      <c r="E6" s="27"/>
    </row>
    <row r="7" spans="1:5" ht="15.75" x14ac:dyDescent="0.25">
      <c r="A7" s="21">
        <f t="shared" si="0"/>
        <v>6</v>
      </c>
      <c r="B7" s="9" t="s">
        <v>552</v>
      </c>
      <c r="C7" s="17" t="s">
        <v>449</v>
      </c>
      <c r="D7" s="28" t="s">
        <v>524</v>
      </c>
      <c r="E7" s="27"/>
    </row>
    <row r="8" spans="1:5" ht="31.5" x14ac:dyDescent="0.25">
      <c r="A8" s="21">
        <f t="shared" si="0"/>
        <v>7</v>
      </c>
      <c r="B8" s="9" t="s">
        <v>553</v>
      </c>
      <c r="C8" s="17" t="s">
        <v>451</v>
      </c>
      <c r="D8" s="28" t="s">
        <v>525</v>
      </c>
      <c r="E8" s="27"/>
    </row>
    <row r="9" spans="1:5" ht="31.5" x14ac:dyDescent="0.25">
      <c r="A9" s="21">
        <f t="shared" si="0"/>
        <v>8</v>
      </c>
      <c r="B9" s="9" t="s">
        <v>554</v>
      </c>
      <c r="C9" s="17" t="s">
        <v>450</v>
      </c>
      <c r="D9" s="28" t="s">
        <v>526</v>
      </c>
      <c r="E9" s="27"/>
    </row>
    <row r="10" spans="1:5" ht="110.25" x14ac:dyDescent="0.25">
      <c r="A10" s="21">
        <f t="shared" si="0"/>
        <v>9</v>
      </c>
      <c r="B10" s="9" t="s">
        <v>555</v>
      </c>
      <c r="C10" s="17" t="s">
        <v>445</v>
      </c>
      <c r="D10" s="28" t="s">
        <v>527</v>
      </c>
      <c r="E10" s="27"/>
    </row>
    <row r="11" spans="1:5" ht="78.75" x14ac:dyDescent="0.25">
      <c r="A11" s="21">
        <f t="shared" si="0"/>
        <v>10</v>
      </c>
      <c r="B11" s="9" t="s">
        <v>556</v>
      </c>
      <c r="C11" s="18" t="s">
        <v>436</v>
      </c>
      <c r="D11" s="28" t="s">
        <v>528</v>
      </c>
      <c r="E11" s="27"/>
    </row>
    <row r="12" spans="1:5" ht="31.5" x14ac:dyDescent="0.25">
      <c r="A12" s="21">
        <f t="shared" si="0"/>
        <v>11</v>
      </c>
      <c r="B12" s="9" t="s">
        <v>557</v>
      </c>
      <c r="C12" s="18" t="s">
        <v>437</v>
      </c>
      <c r="D12" s="28" t="s">
        <v>529</v>
      </c>
      <c r="E12" s="27"/>
    </row>
    <row r="13" spans="1:5" ht="94.5" x14ac:dyDescent="0.25">
      <c r="A13" s="21">
        <f t="shared" si="0"/>
        <v>12</v>
      </c>
      <c r="B13" s="9" t="s">
        <v>558</v>
      </c>
      <c r="C13" s="18" t="s">
        <v>438</v>
      </c>
      <c r="D13" s="28" t="s">
        <v>530</v>
      </c>
      <c r="E13" s="27"/>
    </row>
    <row r="14" spans="1:5" ht="15.75" x14ac:dyDescent="0.25">
      <c r="A14" s="21">
        <f t="shared" si="0"/>
        <v>13</v>
      </c>
      <c r="B14" s="9" t="s">
        <v>559</v>
      </c>
      <c r="C14" s="17" t="s">
        <v>439</v>
      </c>
      <c r="D14" s="28" t="s">
        <v>531</v>
      </c>
      <c r="E14" s="27"/>
    </row>
    <row r="15" spans="1:5" ht="15.75" x14ac:dyDescent="0.25">
      <c r="A15" s="21">
        <f t="shared" si="0"/>
        <v>14</v>
      </c>
      <c r="B15" s="9" t="s">
        <v>560</v>
      </c>
      <c r="C15" s="17" t="s">
        <v>440</v>
      </c>
      <c r="D15" s="28" t="s">
        <v>532</v>
      </c>
      <c r="E15" s="27"/>
    </row>
    <row r="16" spans="1:5" ht="15.75" x14ac:dyDescent="0.25">
      <c r="A16" s="21">
        <f t="shared" si="0"/>
        <v>15</v>
      </c>
      <c r="B16" s="9" t="s">
        <v>561</v>
      </c>
      <c r="C16" s="17" t="s">
        <v>441</v>
      </c>
      <c r="D16" s="28" t="s">
        <v>533</v>
      </c>
      <c r="E16" s="27"/>
    </row>
    <row r="17" spans="1:5" ht="47.25" x14ac:dyDescent="0.25">
      <c r="A17" s="21">
        <f t="shared" si="0"/>
        <v>16</v>
      </c>
      <c r="B17" s="9" t="s">
        <v>562</v>
      </c>
      <c r="C17" s="17" t="s">
        <v>442</v>
      </c>
      <c r="D17" s="28" t="s">
        <v>534</v>
      </c>
      <c r="E17" s="27"/>
    </row>
    <row r="18" spans="1:5" ht="15.75" x14ac:dyDescent="0.25">
      <c r="A18" s="21">
        <f t="shared" si="0"/>
        <v>17</v>
      </c>
      <c r="B18" s="9" t="s">
        <v>563</v>
      </c>
      <c r="C18" s="17" t="s">
        <v>443</v>
      </c>
      <c r="D18" s="28" t="s">
        <v>535</v>
      </c>
      <c r="E18" s="27"/>
    </row>
    <row r="19" spans="1:5" ht="15.75" x14ac:dyDescent="0.25">
      <c r="A19" s="21">
        <f t="shared" si="0"/>
        <v>18</v>
      </c>
      <c r="B19" s="9" t="s">
        <v>566</v>
      </c>
      <c r="C19" s="17" t="s">
        <v>448</v>
      </c>
      <c r="D19" s="28" t="s">
        <v>536</v>
      </c>
      <c r="E19" s="27"/>
    </row>
    <row r="20" spans="1:5" ht="47.25" x14ac:dyDescent="0.25">
      <c r="A20" s="21">
        <f t="shared" si="0"/>
        <v>19</v>
      </c>
      <c r="B20" s="9" t="s">
        <v>564</v>
      </c>
      <c r="C20" s="17" t="s">
        <v>446</v>
      </c>
      <c r="D20" s="33" t="s">
        <v>547</v>
      </c>
    </row>
    <row r="21" spans="1:5" ht="15.75" x14ac:dyDescent="0.25">
      <c r="A21" s="21">
        <f t="shared" si="0"/>
        <v>20</v>
      </c>
      <c r="B21" s="10" t="s">
        <v>565</v>
      </c>
      <c r="C21" s="19" t="s">
        <v>447</v>
      </c>
      <c r="D21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A669-A862-40E0-8471-BF87D508DEA3}">
  <dimension ref="A1:N22"/>
  <sheetViews>
    <sheetView showGridLines="0" tabSelected="1" zoomScaleNormal="100" workbookViewId="0"/>
  </sheetViews>
  <sheetFormatPr defaultRowHeight="15" x14ac:dyDescent="0.25"/>
  <cols>
    <col min="1" max="1" width="2.28515625" customWidth="1"/>
    <col min="2" max="2" width="0.85546875" customWidth="1"/>
    <col min="3" max="3" width="20.140625" customWidth="1"/>
    <col min="4" max="5" width="0.85546875" customWidth="1"/>
    <col min="6" max="6" width="20.140625" customWidth="1"/>
    <col min="7" max="8" width="0.85546875" customWidth="1"/>
    <col min="9" max="9" width="20.140625" customWidth="1"/>
    <col min="10" max="11" width="0.85546875" customWidth="1"/>
    <col min="12" max="12" width="20.140625" customWidth="1"/>
    <col min="13" max="13" width="0.85546875" customWidth="1"/>
    <col min="14" max="14" width="2.28515625" customWidth="1"/>
  </cols>
  <sheetData>
    <row r="1" spans="1:1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 t="str">
        <f>"Clean "&amp;TEXT((COUNTIFS(Account_Profile_Audit!$R:$R,"Unique Record",Account_Profile_Audit!AJ:AJ,"")/COUNTIFS(Account_Profile_Audit!$R:$R,"Unique Record")),"##.00%")</f>
        <v>Clean 75.00%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5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6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9.25" customHeight="1" x14ac:dyDescent="0.25">
      <c r="A6" s="2"/>
      <c r="B6" s="2"/>
      <c r="C6" s="36" t="s">
        <v>567</v>
      </c>
      <c r="D6" s="2"/>
      <c r="E6" s="2"/>
      <c r="F6" s="36" t="s">
        <v>568</v>
      </c>
      <c r="G6" s="2"/>
      <c r="H6" s="2"/>
      <c r="I6" s="36" t="s">
        <v>573</v>
      </c>
      <c r="J6" s="2"/>
      <c r="K6" s="2"/>
      <c r="L6" s="36" t="s">
        <v>576</v>
      </c>
      <c r="M6" s="2"/>
      <c r="N6" s="2"/>
    </row>
    <row r="7" spans="1:14" ht="15" customHeight="1" x14ac:dyDescent="0.25">
      <c r="A7" s="2"/>
      <c r="B7" s="2"/>
      <c r="C7" s="39">
        <f>COUNTIFS(Account_Profile_Audit!$R:$R,"Unique Record")</f>
        <v>24</v>
      </c>
      <c r="D7" s="2"/>
      <c r="E7" s="2"/>
      <c r="F7" s="39">
        <f>COUNTIFS(Account_Profile_Audit!$R:$R,"Unique Record",Account_Profile_Audit!AJ:AJ,"")</f>
        <v>18</v>
      </c>
      <c r="G7" s="2"/>
      <c r="H7" s="2"/>
      <c r="I7" s="39">
        <f>C7-F7</f>
        <v>6</v>
      </c>
      <c r="J7" s="2"/>
      <c r="K7" s="2"/>
      <c r="L7" s="39">
        <f>I7/C7</f>
        <v>0.25</v>
      </c>
      <c r="M7" s="2"/>
      <c r="N7" s="2"/>
    </row>
    <row r="8" spans="1:14" ht="15" customHeight="1" x14ac:dyDescent="0.25">
      <c r="A8" s="2"/>
      <c r="B8" s="2"/>
      <c r="C8" s="41" t="s">
        <v>575</v>
      </c>
      <c r="D8" s="40"/>
      <c r="E8" s="40"/>
      <c r="F8" s="41" t="str">
        <f>"Percentage: " &amp; TEXT(ROUND((COUNTIFS(Account_Profile_Audit!$R:$R,"Unique Record",Account_Profile_Audit!AJ:AJ,"")/COUNTIFS(Account_Profile_Audit!$R:$R,"Unique Record")),2),"#.00%")</f>
        <v>Percentage: 75.00%</v>
      </c>
      <c r="G8" s="40"/>
      <c r="H8" s="40"/>
      <c r="I8" s="41" t="str">
        <f>"Percentage: " &amp; TEXT(ROUND(I7/C7,2),"#.00%")</f>
        <v>Percentage: 25.00%</v>
      </c>
      <c r="J8" s="2"/>
      <c r="K8" s="40"/>
      <c r="L8" s="41" t="str">
        <f>"Error ratio is "&amp;IF(L7&gt;=0.1,"High (✖)",IF(L7&gt;=0.05,"Medium (⚠)","Low (!)"))</f>
        <v>Error ratio is High (✖)</v>
      </c>
      <c r="M8" s="2"/>
      <c r="N8" s="2"/>
    </row>
    <row r="9" spans="1:14" ht="12.75" customHeight="1" x14ac:dyDescent="0.25">
      <c r="A9" s="2"/>
      <c r="B9" s="2"/>
      <c r="C9" s="2"/>
      <c r="D9" s="2"/>
      <c r="E9" s="2"/>
      <c r="F9" s="38"/>
      <c r="G9" s="2"/>
      <c r="H9" s="2"/>
      <c r="I9" s="38"/>
      <c r="J9" s="2"/>
      <c r="K9" s="2"/>
      <c r="L9" s="38"/>
      <c r="M9" s="2"/>
      <c r="N9" s="2"/>
    </row>
    <row r="10" spans="1:14" x14ac:dyDescent="0.25">
      <c r="A10" s="2"/>
      <c r="B10" s="2"/>
      <c r="C10" s="2"/>
      <c r="D10" s="2"/>
      <c r="E10" s="2"/>
      <c r="F10" s="37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/>
      <c r="C11" s="2"/>
      <c r="D11" s="2"/>
      <c r="E11" s="2"/>
      <c r="F11" s="37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2"/>
      <c r="C12" s="2"/>
      <c r="D12" s="2"/>
      <c r="E12" s="2"/>
      <c r="F12" s="37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2"/>
      <c r="C13" s="2"/>
      <c r="D13" s="2"/>
      <c r="E13" s="2"/>
      <c r="F13" s="37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"/>
      <c r="C14" s="2"/>
      <c r="D14" s="2"/>
      <c r="E14" s="2"/>
      <c r="F14" s="37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6551"/>
  <sheetViews>
    <sheetView zoomScale="85" zoomScaleNormal="85" workbookViewId="0"/>
  </sheetViews>
  <sheetFormatPr defaultRowHeight="15" x14ac:dyDescent="0.25"/>
  <cols>
    <col min="1" max="1" width="17" style="8" bestFit="1" customWidth="1"/>
    <col min="2" max="2" width="13.85546875" style="8" bestFit="1" customWidth="1"/>
    <col min="3" max="3" width="20.85546875" style="8" bestFit="1" customWidth="1"/>
    <col min="4" max="4" width="23.28515625" style="8" bestFit="1" customWidth="1"/>
    <col min="5" max="5" width="22.42578125" style="8" bestFit="1" customWidth="1"/>
    <col min="6" max="6" width="25.5703125" style="8" bestFit="1" customWidth="1"/>
    <col min="7" max="7" width="23.28515625" style="8" bestFit="1" customWidth="1"/>
    <col min="8" max="8" width="30" style="8" bestFit="1" customWidth="1"/>
    <col min="9" max="9" width="13.85546875" style="8" bestFit="1" customWidth="1"/>
    <col min="10" max="10" width="25" style="8" bestFit="1" customWidth="1"/>
    <col min="11" max="11" width="25.7109375" style="8" bestFit="1" customWidth="1"/>
    <col min="12" max="12" width="17.85546875" style="8" bestFit="1" customWidth="1"/>
    <col min="13" max="13" width="14.7109375" style="8" bestFit="1" customWidth="1"/>
    <col min="14" max="14" width="17" style="8" bestFit="1" customWidth="1"/>
    <col min="15" max="15" width="17.5703125" style="8" bestFit="1" customWidth="1"/>
    <col min="16" max="16" width="24.140625" style="8" bestFit="1" customWidth="1"/>
    <col min="17" max="17" width="4.5703125" style="8" customWidth="1"/>
    <col min="18" max="18" width="17.7109375" customWidth="1"/>
    <col min="19" max="19" width="25" customWidth="1"/>
    <col min="20" max="24" width="26.5703125" customWidth="1"/>
    <col min="25" max="25" width="24.28515625" customWidth="1"/>
    <col min="26" max="26" width="24.42578125" customWidth="1"/>
    <col min="27" max="29" width="26.5703125" customWidth="1"/>
    <col min="30" max="30" width="22.5703125" customWidth="1"/>
    <col min="31" max="35" width="26.5703125" customWidth="1"/>
    <col min="36" max="36" width="68" customWidth="1"/>
    <col min="37" max="37" width="27.7109375" customWidth="1"/>
    <col min="38" max="38" width="3.7109375" customWidth="1"/>
    <col min="39" max="39" width="14.5703125" customWidth="1"/>
    <col min="40" max="40" width="17" customWidth="1"/>
    <col min="41" max="41" width="16" customWidth="1"/>
    <col min="42" max="42" width="14" customWidth="1"/>
    <col min="43" max="43" width="13.28515625" customWidth="1"/>
    <col min="45" max="49" width="13.7109375" customWidth="1"/>
  </cols>
  <sheetData>
    <row r="1" spans="1:49" ht="15.75" customHeight="1" x14ac:dyDescent="0.25">
      <c r="Q1" s="34" t="s">
        <v>13</v>
      </c>
      <c r="R1" s="35" t="s">
        <v>13</v>
      </c>
      <c r="S1" s="35" t="s">
        <v>569</v>
      </c>
      <c r="T1" s="35" t="s">
        <v>569</v>
      </c>
      <c r="U1" s="35" t="s">
        <v>569</v>
      </c>
      <c r="V1" s="35" t="s">
        <v>569</v>
      </c>
      <c r="W1" s="35" t="s">
        <v>570</v>
      </c>
      <c r="X1" s="35" t="s">
        <v>572</v>
      </c>
      <c r="Y1" s="35" t="s">
        <v>572</v>
      </c>
      <c r="Z1" s="35" t="s">
        <v>570</v>
      </c>
      <c r="AA1" s="35" t="s">
        <v>571</v>
      </c>
      <c r="AB1" s="35" t="s">
        <v>569</v>
      </c>
      <c r="AC1" s="35" t="s">
        <v>571</v>
      </c>
      <c r="AD1" s="35" t="s">
        <v>571</v>
      </c>
      <c r="AE1" s="35" t="s">
        <v>571</v>
      </c>
      <c r="AF1" s="35" t="s">
        <v>572</v>
      </c>
      <c r="AG1" s="35" t="s">
        <v>569</v>
      </c>
      <c r="AH1" s="35" t="s">
        <v>571</v>
      </c>
      <c r="AI1" s="35" t="s">
        <v>571</v>
      </c>
      <c r="AJ1" s="42" t="s">
        <v>13</v>
      </c>
      <c r="AK1" s="35" t="s">
        <v>13</v>
      </c>
      <c r="AL1" s="45" t="s">
        <v>577</v>
      </c>
      <c r="AM1" s="46"/>
      <c r="AN1" s="46"/>
      <c r="AO1" s="46"/>
      <c r="AP1" s="46"/>
      <c r="AQ1" s="46"/>
      <c r="AS1" s="47" t="s">
        <v>577</v>
      </c>
      <c r="AT1" s="48"/>
      <c r="AU1" s="48"/>
      <c r="AV1" s="48"/>
      <c r="AW1" s="48"/>
    </row>
    <row r="2" spans="1:49" ht="31.5" x14ac:dyDescent="0.25">
      <c r="A2" s="1" t="s">
        <v>485</v>
      </c>
      <c r="B2" s="1" t="s">
        <v>486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508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34" t="s">
        <v>13</v>
      </c>
      <c r="R2" s="35" t="s">
        <v>574</v>
      </c>
      <c r="S2" s="35" t="s">
        <v>549</v>
      </c>
      <c r="T2" s="35" t="s">
        <v>548</v>
      </c>
      <c r="U2" s="35" t="s">
        <v>550</v>
      </c>
      <c r="V2" s="35" t="s">
        <v>551</v>
      </c>
      <c r="W2" s="35" t="s">
        <v>552</v>
      </c>
      <c r="X2" s="35" t="s">
        <v>553</v>
      </c>
      <c r="Y2" s="35" t="s">
        <v>554</v>
      </c>
      <c r="Z2" s="35" t="s">
        <v>555</v>
      </c>
      <c r="AA2" s="35" t="s">
        <v>556</v>
      </c>
      <c r="AB2" s="35" t="s">
        <v>557</v>
      </c>
      <c r="AC2" s="35" t="s">
        <v>558</v>
      </c>
      <c r="AD2" s="35" t="s">
        <v>559</v>
      </c>
      <c r="AE2" s="35" t="s">
        <v>560</v>
      </c>
      <c r="AF2" s="35" t="s">
        <v>561</v>
      </c>
      <c r="AG2" s="35" t="s">
        <v>562</v>
      </c>
      <c r="AH2" s="35" t="s">
        <v>563</v>
      </c>
      <c r="AI2" s="35" t="s">
        <v>566</v>
      </c>
      <c r="AJ2" s="42" t="s">
        <v>564</v>
      </c>
      <c r="AK2" s="35" t="s">
        <v>565</v>
      </c>
      <c r="AL2" s="35" t="s">
        <v>13</v>
      </c>
      <c r="AM2" s="35" t="s">
        <v>569</v>
      </c>
      <c r="AN2" s="35" t="s">
        <v>570</v>
      </c>
      <c r="AO2" s="35" t="s">
        <v>571</v>
      </c>
      <c r="AP2" s="35" t="s">
        <v>572</v>
      </c>
      <c r="AQ2" s="35" t="s">
        <v>578</v>
      </c>
      <c r="AS2" s="35" t="s">
        <v>569</v>
      </c>
      <c r="AT2" s="35" t="s">
        <v>570</v>
      </c>
      <c r="AU2" s="35" t="s">
        <v>571</v>
      </c>
      <c r="AV2" s="35" t="s">
        <v>572</v>
      </c>
      <c r="AW2" s="35" t="s">
        <v>578</v>
      </c>
    </row>
    <row r="3" spans="1:49" ht="15.75" x14ac:dyDescent="0.25">
      <c r="A3" s="16" t="s">
        <v>459</v>
      </c>
      <c r="B3" s="11" t="s">
        <v>482</v>
      </c>
      <c r="C3" s="11" t="s">
        <v>9</v>
      </c>
      <c r="D3" s="11" t="s">
        <v>460</v>
      </c>
      <c r="E3" s="11" t="s">
        <v>461</v>
      </c>
      <c r="F3" s="11" t="s">
        <v>488</v>
      </c>
      <c r="G3" s="11" t="s">
        <v>502</v>
      </c>
      <c r="H3" s="11" t="s">
        <v>509</v>
      </c>
      <c r="I3" s="11" t="s">
        <v>538</v>
      </c>
      <c r="J3" s="11" t="s">
        <v>97</v>
      </c>
      <c r="K3" s="11" t="s">
        <v>463</v>
      </c>
      <c r="L3" s="11" t="s">
        <v>33</v>
      </c>
      <c r="M3" s="11" t="s">
        <v>514</v>
      </c>
      <c r="N3" s="11" t="s">
        <v>30</v>
      </c>
      <c r="O3" s="11" t="s">
        <v>30</v>
      </c>
      <c r="P3" s="11" t="s">
        <v>452</v>
      </c>
      <c r="Q3" s="32"/>
      <c r="R3" s="2" t="str">
        <f t="shared" ref="R3:R14" si="0">IF(G3=G2,"","Unique Record")</f>
        <v>Unique Record</v>
      </c>
      <c r="S3" s="2" t="str">
        <f t="shared" ref="S3:S14" si="1">IF(F3="","",IF(EXACT(F3,(UPPER(F3))),"Account Upper Case",""))</f>
        <v/>
      </c>
      <c r="T3" s="2" t="str">
        <f t="shared" ref="T3:T14" si="2">IF(F3="","",IF(EXACT(F3,(LOWER(F3))),"Account Lower Case",""))</f>
        <v/>
      </c>
      <c r="U3" s="2" t="str">
        <f t="shared" ref="U3:U14" si="3">IF(EXACT(H3,PROPER(H3)),"","Billing Street - casing")</f>
        <v/>
      </c>
      <c r="V3" s="2" t="str">
        <f t="shared" ref="V3:V14" si="4">IF(EXACT(I3,PROPER(I3)),"","City - casing")</f>
        <v>City - casing</v>
      </c>
      <c r="W3" s="2" t="str">
        <f t="shared" ref="W3:W14" si="5">IF(OR(ISNUMBER(SEARCH("St.",I3)),ISNUMBER(SEARCH("St ",I3))),"Check St in city field",IF(RIGHT(I3,1)=".","Dot found in city field",""))</f>
        <v/>
      </c>
      <c r="X3" s="2" t="str" cm="1">
        <f t="array" ref="X3">IF((SUMPRODUCT(--ISNUMBER(SEARCH({"!","@","#","$","%","^","&amp;","~*","(",")","_","+","=","{","}","[","]","|","\",":",";","'","""","&lt;","&gt;",",",".","~?","/","~~","`"}, I3)))&gt;0)=TRUE,"Special Characters Found in City","")</f>
        <v/>
      </c>
      <c r="Y3" s="2" t="str" cm="1">
        <f t="array" ref="Y3">IF((SUMPRODUCT(--ISNUMBER(SEARCH({"!","@","#","$","%","^","~*","(",")","_","+","=","{","}","[","]","|","\",":",";","'","""","&lt;","&gt;","~?","/","~~","`"},F3)))&gt;0)=TRUE,"Special Characters Found in Account field","")</f>
        <v/>
      </c>
      <c r="Z3" s="2" t="str" cm="1">
        <f t="array" ref="Z3">IF(SUM(--ISNUMBER(SEARCH({1,2,3,4,5,6,7,8,9,0},MID(H3,(SEARCH(" E ",H3)-1),1))))+SUM(--ISNUMBER(SEARCH({1,2,3,4,5,6,7,8,9,0},MID(H3,(SEARCH(" E ",H3)+3),1))))=2,"",IF(SUM(--ISNUMBER(SEARCH({"Parte E","Apoquindo N"},H3)))&gt;0,"",IF(OR(RIGHT(H3,3)=" NE",RIGHT(H3,3)=" NW",RIGHT(H3,3)=" SW",RIGHT(H3,3)=" SE",RIGHT(H3,2)=" N",RIGHT(H3,2)=" E",RIGHT(H3,2)=" W",RIGHT(H3,2)=" S",LEFT(H3,3)="NE ",LEFT(H3,3)="NW ",LEFT(H3,3)="SW ",LEFT(H3,3)="SE ",LEFT(H3,2)="N ",LEFT(H3,2)="E ",LEFT(H3,2)="W ",LEFT(H3,2)="S "),"Directional Check",IF(SUM(--ISNUMBER(SEARCH({" N "," E "," W "," S "," NE "," NW "," SW "," SE ","N.E","N.W","S.W","S.E","E.","N.","S.","W."},H3)))&gt;0,"Directional Check",IF(SUM(--ISNUMBER(SEARCH({1,2,3,4,5,6,7,8,9,0},MID(H3,(SEARCH("nd ",H3)-1),1))))+SUM(--ISNUMBER(SEARCH({1,2,3,4,5,6,7,8,9,0},MID(H3,(SEARCH("rd ",H3)-1),1)))+SUM(--ISNUMBER(SEARCH({1,2,3,4,5,6,7,8,9,0},MID(H3,(SEARCH("st ",H3)-1),1))))+SUM(--ISNUMBER(SEARCH({1,2,3,4,5,6,7,8,9,0},MID(H3,(SEARCH("th ",H3)-1),1)))))&gt;0,"","")))))</f>
        <v/>
      </c>
      <c r="AA3" s="2" t="str">
        <f>IF(IF(L3="US",IFERROR(VLOOKUP(J3,'Country Codes'!$B:$B,1,0)=J3,"US State Code Error"),IF(L3="CA",IFERROR(VLOOKUP(J3,'Country Codes'!$E:$E,1,0)=J3,"Canada State Code Error"),IF(L3="BR",IFERROR(VLOOKUP(J3,'Country Codes'!$H:$H,1,0)=J3,"Brazil State Code Error"),IF(L3="AU",IFERROR(VLOOKUP(J3,'Country Codes'!$K:$K,1,0)=J3,"Australia State Code Error"),""))))=TRUE,"",IF(L3="US",IFERROR(VLOOKUP(J3,'Country Codes'!$B:$B,1,0)=J3,"US State Code Error"),IF(L3="CA",IFERROR(VLOOKUP(J3,'Country Codes'!$E:$E,1,0)=J3,"Canada State Code Error"),IF(L3="BR",IFERROR(VLOOKUP(J3,'Country Codes'!$H:$H,1,0)=J3,"Brazil State Code Error"),IF(L3="AU",IFERROR(VLOOKUP(J3,'Country Codes'!$K:$K,1,0)=J3,"Australia State Code Error"),"")))))</f>
        <v/>
      </c>
      <c r="AB3" s="2" t="str">
        <f t="shared" ref="AB3:AB14" si="6">IF(OR(L3="US",L3="CA",L3="BR",L3="AU"),IF((EXACT(UPPER(J3),J3)),"","Country Code Casing"),IF(EXACT(J3,PROPER(J3)),"","Billing State casing"))</f>
        <v/>
      </c>
      <c r="AC3" s="2" t="str" cm="1">
        <f t="array" ref="AC3">IFERROR(_xlfn.IFS(IF(AND(LEN(I3)=0,ISBLANK(I3)=FALSE),"",ISNUMBER(SEARCH(I3,H3))),"City/Postal Code/Country Found in Address",IF(AND(LEN(K3)=0,ISBLANK(K3)=FALSE),"",ISNUMBER(SEARCH(K3,H3))),"City/Postal Code/Country Found in Address",IF(AND(LEN(L3)=0,ISBLANK(L3)=FALSE),"",ISNUMBER(SEARCH(", "&amp;L3,H3))),"City/Postal Code/Country Found in Address",IF(AND(LEN(J3)=0,ISBLANK(J3)=FALSE),"",ISNUMBER(SEARCH(", "&amp;J3,H3))),"City/Postal Code/Country Found in Address",IF(AND(LEN(L3)=0,ISBLANK(L3)=FALSE),"",ISNUMBER(SEARCH(","&amp;L3,H3))),"City/Postal Code/Country Found in Address",IF(AND(LEN(J3)=0,ISBLANK(J3)=FALSE),"",ISNUMBER(SEARCH(","&amp;J3,H3))),"City/Postal Code/Country Found in Address"),"")</f>
        <v/>
      </c>
      <c r="AD3" s="2" t="str">
        <f t="shared" ref="AD3:AD14" si="7">IF(ISNUMBER(SEARCH("PO",N3)),"PO# Entered in Tax ID Field","")</f>
        <v/>
      </c>
      <c r="AE3" s="2" t="str" cm="1">
        <f t="array" ref="AE3">IFERROR(IF(VLOOKUP(LEFT(M3,MIN(SEARCH({1,2,3,4,5,6,7,8,9,0},M3&amp;{1,2,3,4,5,6,7,8,9,0}))-1),'Country Codes'!$N:$N,1,0)&gt;0,"PO Number may be incorrect",""),"")</f>
        <v/>
      </c>
      <c r="AF3" s="2" t="str">
        <f t="shared" ref="AF3:AF14" si="8">IF(N3="","",IF(EXACT(L3,LEFT(N3,2)),IF(EXACT(MID(N3,3,1)," "),"Check the Space inbetween County code &amp; VAT",""),"Check the VAT Country Code Format"))</f>
        <v/>
      </c>
      <c r="AG3" s="2" t="str">
        <f t="shared" ref="AG3:AG14" si="9">IF((ISNUMBER(SEARCH("@",P3)))&gt;0,"",IF(IF(--(ISNUMBER(SEARCH("'",P3)))&gt;0,OR(EXACT(PROPER(P3),P3),EXACT((PROPER(LEFT(P3,FIND("'",P3)-2))&amp;LOWER(MID(P3,FIND("'",P3)-1,1))&amp;PROPER(MID(P3,FIND("'",P3)+0,LEN(P3)-FIND("'",P3)+1))),P3)),"Please check Billing Contact Casing")=TRUE,"","Please check Billing Contact casing"))</f>
        <v/>
      </c>
      <c r="AH3" s="2" t="str">
        <f t="shared" ref="AH3:AH14" si="10">IF(OR(L3="AS",L3="FM",L3="GU",L3="MH",L3="MP",L3="PW",L3="PR",L3="VI",L3="UM"),"US Territories Check","")</f>
        <v/>
      </c>
      <c r="AI3" s="2" t="str" cm="1">
        <f t="array" ref="AI3">IF(G3="","",_xlfn.IFNA(_xlfn.IFS(L3=VLOOKUP(L3,'Country Codes'!$M:$M,1,0)=TRUE,""),"Please check the country code"))</f>
        <v/>
      </c>
      <c r="AJ3" s="2" t="str">
        <f>IF(S3="","",S3&amp;"; ")&amp;IF(T3="","",T3&amp;"; ")&amp;IF(U3="","",U3&amp;"; ")&amp;IF(V3="","",V3&amp;"; ")&amp;IF(AF3="","",AF3&amp;"; ")&amp;IF(AG3="","",AG3&amp;"; ")&amp;IF(AH3="","",AH3&amp;"; ")&amp;IF(Z3="","",Z3&amp;"; ")&amp;IF(AA3="","",AA3&amp;"; ")&amp;IF(AB3="","",AB3&amp;"; ")&amp;IF(AC3="","",AC3&amp;"; ")&amp;IF(AD3="","",AD3&amp;"; ")&amp;IF(AE3="","",AE3&amp;"; ")&amp;IF(AI3="","",AI3&amp;"; ")&amp;IF(W3="","",W3&amp;"; ")&amp;IF(X3="","",X3&amp;"; ")&amp;IF(Y3="","",Y3&amp;"; ")</f>
        <v xml:space="preserve">City - casing; </v>
      </c>
      <c r="AK3" s="2"/>
      <c r="AM3" s="43">
        <f>(COUNTA(S3:V3)-COUNTIFS((S3:V3),""))+(COUNTA(AB3)-COUNTIFS((AB3),""))+(COUNTA(AG3)-COUNTIFS((AG3),""))</f>
        <v>1</v>
      </c>
      <c r="AN3" s="43">
        <f>(COUNTA(W3)-COUNTIFS((W3),""))+(COUNTA(Z3)-COUNTIFS((Z3),""))</f>
        <v>0</v>
      </c>
      <c r="AO3" s="43">
        <f>(COUNTA(AA3)-COUNTIFS((AA3),""))+(COUNTA(AC3:AE3)-COUNTIFS((AC3:AE3),""))+(COUNTA(AH3:AI3)-COUNTIFS((AH3:AI3),""))</f>
        <v>0</v>
      </c>
      <c r="AP3" s="43">
        <f>(COUNTA(X3:Y3)-COUNTIFS((X3:Y3),""))+(COUNTA(AF3)-COUNTIFS((AF3),""))</f>
        <v>0</v>
      </c>
      <c r="AQ3" s="43">
        <f>SUM(AM3:AP3)</f>
        <v>1</v>
      </c>
      <c r="AS3" s="44">
        <f>SUM(AM:AM)</f>
        <v>5</v>
      </c>
      <c r="AT3" s="44">
        <f>SUM(AN:AN)</f>
        <v>1</v>
      </c>
      <c r="AU3" s="44">
        <f>SUM(AO:AO)</f>
        <v>0</v>
      </c>
      <c r="AV3" s="44">
        <f>SUM(AP:AP)</f>
        <v>1</v>
      </c>
      <c r="AW3" s="44">
        <f>SUM(AQ:AQ)</f>
        <v>7</v>
      </c>
    </row>
    <row r="4" spans="1:49" ht="15.75" x14ac:dyDescent="0.25">
      <c r="A4" s="16" t="s">
        <v>464</v>
      </c>
      <c r="B4" s="11" t="s">
        <v>482</v>
      </c>
      <c r="C4" s="11" t="s">
        <v>3</v>
      </c>
      <c r="D4" s="11" t="s">
        <v>487</v>
      </c>
      <c r="E4" s="11" t="s">
        <v>488</v>
      </c>
      <c r="F4" s="11" t="s">
        <v>488</v>
      </c>
      <c r="G4" s="11" t="s">
        <v>502</v>
      </c>
      <c r="H4" s="11" t="s">
        <v>509</v>
      </c>
      <c r="I4" s="11" t="s">
        <v>462</v>
      </c>
      <c r="J4" s="11" t="s">
        <v>97</v>
      </c>
      <c r="K4" s="11" t="s">
        <v>463</v>
      </c>
      <c r="L4" s="11" t="s">
        <v>33</v>
      </c>
      <c r="M4" s="11" t="s">
        <v>514</v>
      </c>
      <c r="N4" s="11" t="s">
        <v>30</v>
      </c>
      <c r="O4" s="11" t="s">
        <v>30</v>
      </c>
      <c r="P4" s="11" t="s">
        <v>452</v>
      </c>
      <c r="Q4" s="7"/>
      <c r="R4" s="2" t="str">
        <f t="shared" si="0"/>
        <v/>
      </c>
      <c r="S4" s="2" t="str">
        <f t="shared" si="1"/>
        <v/>
      </c>
      <c r="T4" s="2" t="str">
        <f t="shared" si="2"/>
        <v/>
      </c>
      <c r="U4" s="2" t="str">
        <f t="shared" si="3"/>
        <v/>
      </c>
      <c r="V4" s="2" t="str">
        <f t="shared" si="4"/>
        <v/>
      </c>
      <c r="W4" s="2" t="str">
        <f t="shared" si="5"/>
        <v/>
      </c>
      <c r="X4" s="2" t="str" cm="1">
        <f t="array" ref="X4">IF((SUMPRODUCT(--ISNUMBER(SEARCH({"!","@","#","$","%","^","&amp;","~*","(",")","_","+","=","{","}","[","]","|","\",":",";","'","""","&lt;","&gt;",",",".","~?","/","~~","`"}, I4)))&gt;0)=TRUE,"Special Characters Found in City","")</f>
        <v/>
      </c>
      <c r="Y4" s="2" t="str" cm="1">
        <f t="array" ref="Y4">IF((SUMPRODUCT(--ISNUMBER(SEARCH({"!","@","#","$","%","^","~*","(",")","_","+","=","{","}","[","]","|","\",":",";","'","""","&lt;","&gt;","~?","/","~~","`"},F4)))&gt;0)=TRUE,"Special Characters Found in Account field","")</f>
        <v/>
      </c>
      <c r="Z4" s="2" t="str" cm="1">
        <f t="array" ref="Z4">IF(SUM(--ISNUMBER(SEARCH({1,2,3,4,5,6,7,8,9,0},MID(H4,(SEARCH(" E ",H4)-1),1))))+SUM(--ISNUMBER(SEARCH({1,2,3,4,5,6,7,8,9,0},MID(H4,(SEARCH(" E ",H4)+3),1))))=2,"",IF(SUM(--ISNUMBER(SEARCH({"Parte E","Apoquindo N"},H4)))&gt;0,"",IF(OR(RIGHT(H4,3)=" NE",RIGHT(H4,3)=" NW",RIGHT(H4,3)=" SW",RIGHT(H4,3)=" SE",RIGHT(H4,2)=" N",RIGHT(H4,2)=" E",RIGHT(H4,2)=" W",RIGHT(H4,2)=" S",LEFT(H4,3)="NE ",LEFT(H4,3)="NW ",LEFT(H4,3)="SW ",LEFT(H4,3)="SE ",LEFT(H4,2)="N ",LEFT(H4,2)="E ",LEFT(H4,2)="W ",LEFT(H4,2)="S "),"Directional Check",IF(SUM(--ISNUMBER(SEARCH({" N "," E "," W "," S "," NE "," NW "," SW "," SE ","N.E","N.W","S.W","S.E","E.","N.","S.","W."},H4)))&gt;0,"Directional Check",IF(SUM(--ISNUMBER(SEARCH({1,2,3,4,5,6,7,8,9,0},MID(H4,(SEARCH("nd ",H4)-1),1))))+SUM(--ISNUMBER(SEARCH({1,2,3,4,5,6,7,8,9,0},MID(H4,(SEARCH("rd ",H4)-1),1)))+SUM(--ISNUMBER(SEARCH({1,2,3,4,5,6,7,8,9,0},MID(H4,(SEARCH("st ",H4)-1),1))))+SUM(--ISNUMBER(SEARCH({1,2,3,4,5,6,7,8,9,0},MID(H4,(SEARCH("th ",H4)-1),1)))))&gt;0,"","")))))</f>
        <v/>
      </c>
      <c r="AA4" s="2" t="str">
        <f>IF(IF(L4="US",IFERROR(VLOOKUP(J4,'Country Codes'!$B:$B,1,0)=J4,"US State Code Error"),IF(L4="CA",IFERROR(VLOOKUP(J4,'Country Codes'!$E:$E,1,0)=J4,"Canada State Code Error"),IF(L4="BR",IFERROR(VLOOKUP(J4,'Country Codes'!$H:$H,1,0)=J4,"Brazil State Code Error"),IF(L4="AU",IFERROR(VLOOKUP(J4,'Country Codes'!$K:$K,1,0)=J4,"Australia State Code Error"),""))))=TRUE,"",IF(L4="US",IFERROR(VLOOKUP(J4,'Country Codes'!$B:$B,1,0)=J4,"US State Code Error"),IF(L4="CA",IFERROR(VLOOKUP(J4,'Country Codes'!$E:$E,1,0)=J4,"Canada State Code Error"),IF(L4="BR",IFERROR(VLOOKUP(J4,'Country Codes'!$H:$H,1,0)=J4,"Brazil State Code Error"),IF(L4="AU",IFERROR(VLOOKUP(J4,'Country Codes'!$K:$K,1,0)=J4,"Australia State Code Error"),"")))))</f>
        <v/>
      </c>
      <c r="AB4" s="2" t="str">
        <f t="shared" si="6"/>
        <v/>
      </c>
      <c r="AC4" s="2" t="str" cm="1">
        <f t="array" ref="AC4">IFERROR(_xlfn.IFS(IF(AND(LEN(I4)=0,ISBLANK(I4)=FALSE),"",ISNUMBER(SEARCH(I4,H4))),"City/Postal Code/Country Found in Address",IF(AND(LEN(K4)=0,ISBLANK(K4)=FALSE),"",ISNUMBER(SEARCH(K4,H4))),"City/Postal Code/Country Found in Address",IF(AND(LEN(L4)=0,ISBLANK(L4)=FALSE),"",ISNUMBER(SEARCH(", "&amp;L4,H4))),"City/Postal Code/Country Found in Address",IF(AND(LEN(J4)=0,ISBLANK(J4)=FALSE),"",ISNUMBER(SEARCH(", "&amp;J4,H4))),"City/Postal Code/Country Found in Address",IF(AND(LEN(L4)=0,ISBLANK(L4)=FALSE),"",ISNUMBER(SEARCH(","&amp;L4,H4))),"City/Postal Code/Country Found in Address",IF(AND(LEN(J4)=0,ISBLANK(J4)=FALSE),"",ISNUMBER(SEARCH(","&amp;J4,H4))),"City/Postal Code/Country Found in Address"),"")</f>
        <v/>
      </c>
      <c r="AD4" s="2" t="str">
        <f t="shared" si="7"/>
        <v/>
      </c>
      <c r="AE4" s="2" t="str" cm="1">
        <f t="array" ref="AE4">IFERROR(IF(VLOOKUP(LEFT(M4,MIN(SEARCH({1,2,3,4,5,6,7,8,9,0},M4&amp;{1,2,3,4,5,6,7,8,9,0}))-1),'Country Codes'!$N:$N,1,0)&gt;0,"PO Number may be incorrect",""),"")</f>
        <v/>
      </c>
      <c r="AF4" s="2" t="str">
        <f t="shared" si="8"/>
        <v/>
      </c>
      <c r="AG4" s="2" t="str">
        <f t="shared" si="9"/>
        <v/>
      </c>
      <c r="AH4" s="2" t="str">
        <f t="shared" si="10"/>
        <v/>
      </c>
      <c r="AI4" s="2" t="str" cm="1">
        <f t="array" ref="AI4">IF(G4="","",_xlfn.IFNA(_xlfn.IFS(L4=VLOOKUP(L4,'Country Codes'!$M:$M,1,0)=TRUE,""),"Please check the country code"))</f>
        <v/>
      </c>
      <c r="AJ4" s="2" t="str">
        <f t="shared" ref="AJ4:AJ46" si="11">IF(S4="","",S4&amp;"; ")&amp;IF(T4="","",T4&amp;"; ")&amp;IF(U4="","",U4&amp;"; ")&amp;IF(V4="","",V4&amp;"; ")&amp;IF(AF4="","",AF4&amp;"; ")&amp;IF(AG4="","",AG4&amp;"; ")&amp;IF(AH4="","",AH4&amp;"; ")&amp;IF(Z4="","",Z4&amp;"; ")&amp;IF(AA4="","",AA4&amp;"; ")&amp;IF(AB4="","",AB4&amp;"; ")&amp;IF(AC4="","",AC4&amp;"; ")&amp;IF(AD4="","",AD4&amp;"; ")&amp;IF(AE4="","",AE4&amp;"; ")&amp;IF(AI4="","",AI4&amp;"; ")&amp;IF(W4="","",W4&amp;"; ")&amp;IF(X4="","",X4&amp;"; ")&amp;IF(Y4="","",Y4&amp;"; ")</f>
        <v/>
      </c>
      <c r="AK4" s="2"/>
      <c r="AM4" s="43">
        <f t="shared" ref="AM4:AM46" si="12">(COUNTA(S4:V4)-COUNTIFS((S4:V4),""))+(COUNTA(AB4)-COUNTIFS((AB4),""))+(COUNTA(AG4)-COUNTIFS((AG4),""))</f>
        <v>0</v>
      </c>
      <c r="AN4" s="43">
        <f t="shared" ref="AN4:AN46" si="13">(COUNTA(W4)-COUNTIFS((W4),""))+(COUNTA(Z4)-COUNTIFS((Z4),""))</f>
        <v>0</v>
      </c>
      <c r="AO4" s="43">
        <f t="shared" ref="AO4:AO46" si="14">(COUNTA(AA4)-COUNTIFS((AA4),""))+(COUNTA(AC4:AE4)-COUNTIFS((AC4:AE4),""))+(COUNTA(AH4:AI4)-COUNTIFS((AH4:AI4),""))</f>
        <v>0</v>
      </c>
      <c r="AP4" s="43">
        <f t="shared" ref="AP4:AP46" si="15">(COUNTA(X4:Y4)-COUNTIFS((X4:Y4),""))+(COUNTA(AF4)-COUNTIFS((AF4),""))</f>
        <v>0</v>
      </c>
      <c r="AQ4" s="43">
        <f t="shared" ref="AQ4:AQ46" si="16">SUM(AM4:AP4)</f>
        <v>0</v>
      </c>
    </row>
    <row r="5" spans="1:49" ht="15.75" x14ac:dyDescent="0.25">
      <c r="A5" s="16" t="s">
        <v>465</v>
      </c>
      <c r="B5" s="11" t="s">
        <v>483</v>
      </c>
      <c r="C5" s="11" t="s">
        <v>11</v>
      </c>
      <c r="D5" s="11" t="s">
        <v>489</v>
      </c>
      <c r="E5" s="11" t="s">
        <v>490</v>
      </c>
      <c r="F5" s="11" t="s">
        <v>500</v>
      </c>
      <c r="G5" s="11" t="s">
        <v>503</v>
      </c>
      <c r="H5" s="11" t="s">
        <v>544</v>
      </c>
      <c r="I5" s="11" t="s">
        <v>458</v>
      </c>
      <c r="J5" s="11" t="s">
        <v>47</v>
      </c>
      <c r="K5" s="11" t="s">
        <v>466</v>
      </c>
      <c r="L5" s="11" t="s">
        <v>33</v>
      </c>
      <c r="M5" s="11" t="s">
        <v>30</v>
      </c>
      <c r="N5" s="11" t="s">
        <v>30</v>
      </c>
      <c r="O5" s="11" t="s">
        <v>516</v>
      </c>
      <c r="P5" s="11" t="s">
        <v>30</v>
      </c>
      <c r="Q5" s="7"/>
      <c r="R5" s="2" t="str">
        <f t="shared" si="0"/>
        <v>Unique Record</v>
      </c>
      <c r="S5" s="2" t="str">
        <f t="shared" si="1"/>
        <v>Account Upper Case</v>
      </c>
      <c r="T5" s="2" t="str">
        <f t="shared" si="2"/>
        <v/>
      </c>
      <c r="U5" s="2" t="str">
        <f t="shared" si="3"/>
        <v/>
      </c>
      <c r="V5" s="2" t="str">
        <f t="shared" si="4"/>
        <v/>
      </c>
      <c r="W5" s="2" t="str">
        <f t="shared" si="5"/>
        <v/>
      </c>
      <c r="X5" s="2" t="str" cm="1">
        <f t="array" ref="X5">IF((SUMPRODUCT(--ISNUMBER(SEARCH({"!","@","#","$","%","^","&amp;","~*","(",")","_","+","=","{","}","[","]","|","\",":",";","'","""","&lt;","&gt;",",",".","~?","/","~~","`"}, I5)))&gt;0)=TRUE,"Special Characters Found in City","")</f>
        <v/>
      </c>
      <c r="Y5" s="2" t="str" cm="1">
        <f t="array" ref="Y5">IF((SUMPRODUCT(--ISNUMBER(SEARCH({"!","@","#","$","%","^","~*","(",")","_","+","=","{","}","[","]","|","\",":",";","'","""","&lt;","&gt;","~?","/","~~","`"},F5)))&gt;0)=TRUE,"Special Characters Found in Account field","")</f>
        <v/>
      </c>
      <c r="Z5" s="2" t="str" cm="1">
        <f t="array" ref="Z5">IF(SUM(--ISNUMBER(SEARCH({1,2,3,4,5,6,7,8,9,0},MID(H5,(SEARCH(" E ",H5)-1),1))))+SUM(--ISNUMBER(SEARCH({1,2,3,4,5,6,7,8,9,0},MID(H5,(SEARCH(" E ",H5)+3),1))))=2,"",IF(SUM(--ISNUMBER(SEARCH({"Parte E","Apoquindo N"},H5)))&gt;0,"",IF(OR(RIGHT(H5,3)=" NE",RIGHT(H5,3)=" NW",RIGHT(H5,3)=" SW",RIGHT(H5,3)=" SE",RIGHT(H5,2)=" N",RIGHT(H5,2)=" E",RIGHT(H5,2)=" W",RIGHT(H5,2)=" S",LEFT(H5,3)="NE ",LEFT(H5,3)="NW ",LEFT(H5,3)="SW ",LEFT(H5,3)="SE ",LEFT(H5,2)="N ",LEFT(H5,2)="E ",LEFT(H5,2)="W ",LEFT(H5,2)="S "),"Directional Check",IF(SUM(--ISNUMBER(SEARCH({" N "," E "," W "," S "," NE "," NW "," SW "," SE ","N.E","N.W","S.W","S.E","E.","N.","S.","W."},H5)))&gt;0,"Directional Check",IF(SUM(--ISNUMBER(SEARCH({1,2,3,4,5,6,7,8,9,0},MID(H5,(SEARCH("nd ",H5)-1),1))))+SUM(--ISNUMBER(SEARCH({1,2,3,4,5,6,7,8,9,0},MID(H5,(SEARCH("rd ",H5)-1),1)))+SUM(--ISNUMBER(SEARCH({1,2,3,4,5,6,7,8,9,0},MID(H5,(SEARCH("st ",H5)-1),1))))+SUM(--ISNUMBER(SEARCH({1,2,3,4,5,6,7,8,9,0},MID(H5,(SEARCH("th ",H5)-1),1)))))&gt;0,"","")))))</f>
        <v>Directional Check</v>
      </c>
      <c r="AA5" s="2" t="str">
        <f>IF(IF(L5="US",IFERROR(VLOOKUP(J5,'Country Codes'!$B:$B,1,0)=J5,"US State Code Error"),IF(L5="CA",IFERROR(VLOOKUP(J5,'Country Codes'!$E:$E,1,0)=J5,"Canada State Code Error"),IF(L5="BR",IFERROR(VLOOKUP(J5,'Country Codes'!$H:$H,1,0)=J5,"Brazil State Code Error"),IF(L5="AU",IFERROR(VLOOKUP(J5,'Country Codes'!$K:$K,1,0)=J5,"Australia State Code Error"),""))))=TRUE,"",IF(L5="US",IFERROR(VLOOKUP(J5,'Country Codes'!$B:$B,1,0)=J5,"US State Code Error"),IF(L5="CA",IFERROR(VLOOKUP(J5,'Country Codes'!$E:$E,1,0)=J5,"Canada State Code Error"),IF(L5="BR",IFERROR(VLOOKUP(J5,'Country Codes'!$H:$H,1,0)=J5,"Brazil State Code Error"),IF(L5="AU",IFERROR(VLOOKUP(J5,'Country Codes'!$K:$K,1,0)=J5,"Australia State Code Error"),"")))))</f>
        <v/>
      </c>
      <c r="AB5" s="2" t="str">
        <f t="shared" si="6"/>
        <v/>
      </c>
      <c r="AC5" s="2" t="str" cm="1">
        <f t="array" ref="AC5">IFERROR(_xlfn.IFS(IF(AND(LEN(I5)=0,ISBLANK(I5)=FALSE),"",ISNUMBER(SEARCH(I5,H5))),"City/Postal Code/Country Found in Address",IF(AND(LEN(K5)=0,ISBLANK(K5)=FALSE),"",ISNUMBER(SEARCH(K5,H5))),"City/Postal Code/Country Found in Address",IF(AND(LEN(L5)=0,ISBLANK(L5)=FALSE),"",ISNUMBER(SEARCH(", "&amp;L5,H5))),"City/Postal Code/Country Found in Address",IF(AND(LEN(J5)=0,ISBLANK(J5)=FALSE),"",ISNUMBER(SEARCH(", "&amp;J5,H5))),"City/Postal Code/Country Found in Address",IF(AND(LEN(L5)=0,ISBLANK(L5)=FALSE),"",ISNUMBER(SEARCH(","&amp;L5,H5))),"City/Postal Code/Country Found in Address",IF(AND(LEN(J5)=0,ISBLANK(J5)=FALSE),"",ISNUMBER(SEARCH(","&amp;J5,H5))),"City/Postal Code/Country Found in Address"),"")</f>
        <v/>
      </c>
      <c r="AD5" s="2" t="str">
        <f t="shared" si="7"/>
        <v/>
      </c>
      <c r="AE5" s="2" t="str" cm="1">
        <f t="array" ref="AE5">IFERROR(IF(VLOOKUP(LEFT(M5,MIN(SEARCH({1,2,3,4,5,6,7,8,9,0},M5&amp;{1,2,3,4,5,6,7,8,9,0}))-1),'Country Codes'!$N:$N,1,0)&gt;0,"PO Number may be incorrect",""),"")</f>
        <v/>
      </c>
      <c r="AF5" s="2" t="str">
        <f t="shared" si="8"/>
        <v/>
      </c>
      <c r="AG5" s="2" t="str">
        <f t="shared" si="9"/>
        <v/>
      </c>
      <c r="AH5" s="2" t="str">
        <f t="shared" si="10"/>
        <v/>
      </c>
      <c r="AI5" s="2" t="str" cm="1">
        <f t="array" ref="AI5">IF(G5="","",_xlfn.IFNA(_xlfn.IFS(L5=VLOOKUP(L5,'Country Codes'!$M:$M,1,0)=TRUE,""),"Please check the country code"))</f>
        <v/>
      </c>
      <c r="AJ5" s="2" t="str">
        <f t="shared" si="11"/>
        <v xml:space="preserve">Account Upper Case; Directional Check; </v>
      </c>
      <c r="AK5" s="2"/>
      <c r="AM5" s="43">
        <f t="shared" si="12"/>
        <v>1</v>
      </c>
      <c r="AN5" s="43">
        <f t="shared" si="13"/>
        <v>1</v>
      </c>
      <c r="AO5" s="43">
        <f t="shared" si="14"/>
        <v>0</v>
      </c>
      <c r="AP5" s="43">
        <f t="shared" si="15"/>
        <v>0</v>
      </c>
      <c r="AQ5" s="43">
        <f t="shared" si="16"/>
        <v>2</v>
      </c>
      <c r="AS5" s="31"/>
    </row>
    <row r="6" spans="1:49" ht="15.75" x14ac:dyDescent="0.25">
      <c r="A6" s="16" t="s">
        <v>467</v>
      </c>
      <c r="B6" s="11" t="s">
        <v>482</v>
      </c>
      <c r="C6" s="11" t="s">
        <v>11</v>
      </c>
      <c r="D6" s="11" t="s">
        <v>491</v>
      </c>
      <c r="E6" s="11" t="s">
        <v>492</v>
      </c>
      <c r="F6" s="11" t="s">
        <v>497</v>
      </c>
      <c r="G6" s="11" t="s">
        <v>504</v>
      </c>
      <c r="H6" s="11" t="s">
        <v>510</v>
      </c>
      <c r="I6" s="11" t="s">
        <v>468</v>
      </c>
      <c r="J6" s="11" t="s">
        <v>161</v>
      </c>
      <c r="K6" s="11" t="s">
        <v>469</v>
      </c>
      <c r="L6" s="11" t="s">
        <v>57</v>
      </c>
      <c r="M6" s="11">
        <v>5600004</v>
      </c>
      <c r="N6" s="11" t="s">
        <v>30</v>
      </c>
      <c r="O6" s="11" t="s">
        <v>517</v>
      </c>
      <c r="P6" s="11" t="s">
        <v>30</v>
      </c>
      <c r="Q6" s="7"/>
      <c r="R6" s="2" t="str">
        <f t="shared" si="0"/>
        <v>Unique Record</v>
      </c>
      <c r="S6" s="2" t="str">
        <f t="shared" si="1"/>
        <v/>
      </c>
      <c r="T6" s="2" t="str">
        <f t="shared" si="2"/>
        <v/>
      </c>
      <c r="U6" s="2" t="str">
        <f t="shared" si="3"/>
        <v/>
      </c>
      <c r="V6" s="2" t="str">
        <f t="shared" si="4"/>
        <v/>
      </c>
      <c r="W6" s="2" t="str">
        <f t="shared" si="5"/>
        <v/>
      </c>
      <c r="X6" s="2" t="str" cm="1">
        <f t="array" ref="X6">IF((SUMPRODUCT(--ISNUMBER(SEARCH({"!","@","#","$","%","^","&amp;","~*","(",")","_","+","=","{","}","[","]","|","\",":",";","'","""","&lt;","&gt;",",",".","~?","/","~~","`"}, I6)))&gt;0)=TRUE,"Special Characters Found in City","")</f>
        <v/>
      </c>
      <c r="Y6" s="2" t="str" cm="1">
        <f t="array" ref="Y6">IF((SUMPRODUCT(--ISNUMBER(SEARCH({"!","@","#","$","%","^","~*","(",")","_","+","=","{","}","[","]","|","\",":",";","'","""","&lt;","&gt;","~?","/","~~","`"},F6)))&gt;0)=TRUE,"Special Characters Found in Account field","")</f>
        <v/>
      </c>
      <c r="Z6" s="2" t="str" cm="1">
        <f t="array" ref="Z6">IF(SUM(--ISNUMBER(SEARCH({1,2,3,4,5,6,7,8,9,0},MID(H6,(SEARCH(" E ",H6)-1),1))))+SUM(--ISNUMBER(SEARCH({1,2,3,4,5,6,7,8,9,0},MID(H6,(SEARCH(" E ",H6)+3),1))))=2,"",IF(SUM(--ISNUMBER(SEARCH({"Parte E","Apoquindo N"},H6)))&gt;0,"",IF(OR(RIGHT(H6,3)=" NE",RIGHT(H6,3)=" NW",RIGHT(H6,3)=" SW",RIGHT(H6,3)=" SE",RIGHT(H6,2)=" N",RIGHT(H6,2)=" E",RIGHT(H6,2)=" W",RIGHT(H6,2)=" S",LEFT(H6,3)="NE ",LEFT(H6,3)="NW ",LEFT(H6,3)="SW ",LEFT(H6,3)="SE ",LEFT(H6,2)="N ",LEFT(H6,2)="E ",LEFT(H6,2)="W ",LEFT(H6,2)="S "),"Directional Check",IF(SUM(--ISNUMBER(SEARCH({" N "," E "," W "," S "," NE "," NW "," SW "," SE ","N.E","N.W","S.W","S.E","E.","N.","S.","W."},H6)))&gt;0,"Directional Check",IF(SUM(--ISNUMBER(SEARCH({1,2,3,4,5,6,7,8,9,0},MID(H6,(SEARCH("nd ",H6)-1),1))))+SUM(--ISNUMBER(SEARCH({1,2,3,4,5,6,7,8,9,0},MID(H6,(SEARCH("rd ",H6)-1),1)))+SUM(--ISNUMBER(SEARCH({1,2,3,4,5,6,7,8,9,0},MID(H6,(SEARCH("st ",H6)-1),1))))+SUM(--ISNUMBER(SEARCH({1,2,3,4,5,6,7,8,9,0},MID(H6,(SEARCH("th ",H6)-1),1)))))&gt;0,"","")))))</f>
        <v/>
      </c>
      <c r="AA6" s="2" t="str">
        <f>IF(IF(L6="US",IFERROR(VLOOKUP(J6,'Country Codes'!$B:$B,1,0)=J6,"US State Code Error"),IF(L6="CA",IFERROR(VLOOKUP(J6,'Country Codes'!$E:$E,1,0)=J6,"Canada State Code Error"),IF(L6="BR",IFERROR(VLOOKUP(J6,'Country Codes'!$H:$H,1,0)=J6,"Brazil State Code Error"),IF(L6="AU",IFERROR(VLOOKUP(J6,'Country Codes'!$K:$K,1,0)=J6,"Australia State Code Error"),""))))=TRUE,"",IF(L6="US",IFERROR(VLOOKUP(J6,'Country Codes'!$B:$B,1,0)=J6,"US State Code Error"),IF(L6="CA",IFERROR(VLOOKUP(J6,'Country Codes'!$E:$E,1,0)=J6,"Canada State Code Error"),IF(L6="BR",IFERROR(VLOOKUP(J6,'Country Codes'!$H:$H,1,0)=J6,"Brazil State Code Error"),IF(L6="AU",IFERROR(VLOOKUP(J6,'Country Codes'!$K:$K,1,0)=J6,"Australia State Code Error"),"")))))</f>
        <v/>
      </c>
      <c r="AB6" s="2" t="str">
        <f t="shared" si="6"/>
        <v/>
      </c>
      <c r="AC6" s="2" t="str" cm="1">
        <f t="array" ref="AC6">IFERROR(_xlfn.IFS(IF(AND(LEN(I6)=0,ISBLANK(I6)=FALSE),"",ISNUMBER(SEARCH(I6,H6))),"City/Postal Code/Country Found in Address",IF(AND(LEN(K6)=0,ISBLANK(K6)=FALSE),"",ISNUMBER(SEARCH(K6,H6))),"City/Postal Code/Country Found in Address",IF(AND(LEN(L6)=0,ISBLANK(L6)=FALSE),"",ISNUMBER(SEARCH(", "&amp;L6,H6))),"City/Postal Code/Country Found in Address",IF(AND(LEN(J6)=0,ISBLANK(J6)=FALSE),"",ISNUMBER(SEARCH(", "&amp;J6,H6))),"City/Postal Code/Country Found in Address",IF(AND(LEN(L6)=0,ISBLANK(L6)=FALSE),"",ISNUMBER(SEARCH(","&amp;L6,H6))),"City/Postal Code/Country Found in Address",IF(AND(LEN(J6)=0,ISBLANK(J6)=FALSE),"",ISNUMBER(SEARCH(","&amp;J6,H6))),"City/Postal Code/Country Found in Address"),"")</f>
        <v/>
      </c>
      <c r="AD6" s="2" t="str">
        <f t="shared" si="7"/>
        <v/>
      </c>
      <c r="AE6" s="2" t="str" cm="1">
        <f t="array" ref="AE6">IFERROR(IF(VLOOKUP(LEFT(M6,MIN(SEARCH({1,2,3,4,5,6,7,8,9,0},M6&amp;{1,2,3,4,5,6,7,8,9,0}))-1),'Country Codes'!$N:$N,1,0)&gt;0,"PO Number may be incorrect",""),"")</f>
        <v/>
      </c>
      <c r="AF6" s="2" t="str">
        <f t="shared" si="8"/>
        <v/>
      </c>
      <c r="AG6" s="2" t="str">
        <f t="shared" si="9"/>
        <v/>
      </c>
      <c r="AH6" s="2" t="str">
        <f t="shared" si="10"/>
        <v/>
      </c>
      <c r="AI6" s="2" t="str" cm="1">
        <f t="array" ref="AI6">IF(G6="","",_xlfn.IFNA(_xlfn.IFS(L6=VLOOKUP(L6,'Country Codes'!$M:$M,1,0)=TRUE,""),"Please check the country code"))</f>
        <v/>
      </c>
      <c r="AJ6" s="2" t="str">
        <f t="shared" si="11"/>
        <v/>
      </c>
      <c r="AK6" s="2"/>
      <c r="AM6" s="43">
        <f t="shared" si="12"/>
        <v>0</v>
      </c>
      <c r="AN6" s="43">
        <f t="shared" si="13"/>
        <v>0</v>
      </c>
      <c r="AO6" s="43">
        <f t="shared" si="14"/>
        <v>0</v>
      </c>
      <c r="AP6" s="43">
        <f t="shared" si="15"/>
        <v>0</v>
      </c>
      <c r="AQ6" s="43">
        <f t="shared" si="16"/>
        <v>0</v>
      </c>
      <c r="AS6" s="31"/>
    </row>
    <row r="7" spans="1:49" ht="15.75" x14ac:dyDescent="0.25">
      <c r="A7" s="16" t="s">
        <v>470</v>
      </c>
      <c r="B7" s="11" t="s">
        <v>484</v>
      </c>
      <c r="C7" s="11" t="s">
        <v>9</v>
      </c>
      <c r="D7" s="11">
        <v>3587</v>
      </c>
      <c r="E7" s="11">
        <v>4490</v>
      </c>
      <c r="F7" s="11" t="s">
        <v>497</v>
      </c>
      <c r="G7" s="11" t="s">
        <v>504</v>
      </c>
      <c r="H7" s="11" t="s">
        <v>510</v>
      </c>
      <c r="I7" s="11" t="s">
        <v>468</v>
      </c>
      <c r="J7" s="11" t="s">
        <v>161</v>
      </c>
      <c r="K7" s="11" t="s">
        <v>469</v>
      </c>
      <c r="L7" s="11" t="s">
        <v>57</v>
      </c>
      <c r="M7" s="11">
        <v>5600004</v>
      </c>
      <c r="N7" s="11" t="s">
        <v>30</v>
      </c>
      <c r="O7" s="11" t="s">
        <v>517</v>
      </c>
      <c r="P7" s="11" t="s">
        <v>30</v>
      </c>
      <c r="Q7" s="7"/>
      <c r="R7" s="2" t="str">
        <f t="shared" si="0"/>
        <v/>
      </c>
      <c r="S7" s="2" t="str">
        <f t="shared" si="1"/>
        <v/>
      </c>
      <c r="T7" s="2" t="str">
        <f t="shared" si="2"/>
        <v/>
      </c>
      <c r="U7" s="2" t="str">
        <f t="shared" si="3"/>
        <v/>
      </c>
      <c r="V7" s="2" t="str">
        <f t="shared" si="4"/>
        <v/>
      </c>
      <c r="W7" s="2" t="str">
        <f t="shared" si="5"/>
        <v/>
      </c>
      <c r="X7" s="2" t="str" cm="1">
        <f t="array" ref="X7">IF((SUMPRODUCT(--ISNUMBER(SEARCH({"!","@","#","$","%","^","&amp;","~*","(",")","_","+","=","{","}","[","]","|","\",":",";","'","""","&lt;","&gt;",",",".","~?","/","~~","`"}, I7)))&gt;0)=TRUE,"Special Characters Found in City","")</f>
        <v/>
      </c>
      <c r="Y7" s="2" t="str" cm="1">
        <f t="array" ref="Y7">IF((SUMPRODUCT(--ISNUMBER(SEARCH({"!","@","#","$","%","^","~*","(",")","_","+","=","{","}","[","]","|","\",":",";","'","""","&lt;","&gt;","~?","/","~~","`"},F7)))&gt;0)=TRUE,"Special Characters Found in Account field","")</f>
        <v/>
      </c>
      <c r="Z7" s="2" t="str" cm="1">
        <f t="array" ref="Z7">IF(SUM(--ISNUMBER(SEARCH({1,2,3,4,5,6,7,8,9,0},MID(H7,(SEARCH(" E ",H7)-1),1))))+SUM(--ISNUMBER(SEARCH({1,2,3,4,5,6,7,8,9,0},MID(H7,(SEARCH(" E ",H7)+3),1))))=2,"",IF(SUM(--ISNUMBER(SEARCH({"Parte E","Apoquindo N"},H7)))&gt;0,"",IF(OR(RIGHT(H7,3)=" NE",RIGHT(H7,3)=" NW",RIGHT(H7,3)=" SW",RIGHT(H7,3)=" SE",RIGHT(H7,2)=" N",RIGHT(H7,2)=" E",RIGHT(H7,2)=" W",RIGHT(H7,2)=" S",LEFT(H7,3)="NE ",LEFT(H7,3)="NW ",LEFT(H7,3)="SW ",LEFT(H7,3)="SE ",LEFT(H7,2)="N ",LEFT(H7,2)="E ",LEFT(H7,2)="W ",LEFT(H7,2)="S "),"Directional Check",IF(SUM(--ISNUMBER(SEARCH({" N "," E "," W "," S "," NE "," NW "," SW "," SE ","N.E","N.W","S.W","S.E","E.","N.","S.","W."},H7)))&gt;0,"Directional Check",IF(SUM(--ISNUMBER(SEARCH({1,2,3,4,5,6,7,8,9,0},MID(H7,(SEARCH("nd ",H7)-1),1))))+SUM(--ISNUMBER(SEARCH({1,2,3,4,5,6,7,8,9,0},MID(H7,(SEARCH("rd ",H7)-1),1)))+SUM(--ISNUMBER(SEARCH({1,2,3,4,5,6,7,8,9,0},MID(H7,(SEARCH("st ",H7)-1),1))))+SUM(--ISNUMBER(SEARCH({1,2,3,4,5,6,7,8,9,0},MID(H7,(SEARCH("th ",H7)-1),1)))))&gt;0,"","")))))</f>
        <v/>
      </c>
      <c r="AA7" s="2" t="str">
        <f>IF(IF(L7="US",IFERROR(VLOOKUP(J7,'Country Codes'!$B:$B,1,0)=J7,"US State Code Error"),IF(L7="CA",IFERROR(VLOOKUP(J7,'Country Codes'!$E:$E,1,0)=J7,"Canada State Code Error"),IF(L7="BR",IFERROR(VLOOKUP(J7,'Country Codes'!$H:$H,1,0)=J7,"Brazil State Code Error"),IF(L7="AU",IFERROR(VLOOKUP(J7,'Country Codes'!$K:$K,1,0)=J7,"Australia State Code Error"),""))))=TRUE,"",IF(L7="US",IFERROR(VLOOKUP(J7,'Country Codes'!$B:$B,1,0)=J7,"US State Code Error"),IF(L7="CA",IFERROR(VLOOKUP(J7,'Country Codes'!$E:$E,1,0)=J7,"Canada State Code Error"),IF(L7="BR",IFERROR(VLOOKUP(J7,'Country Codes'!$H:$H,1,0)=J7,"Brazil State Code Error"),IF(L7="AU",IFERROR(VLOOKUP(J7,'Country Codes'!$K:$K,1,0)=J7,"Australia State Code Error"),"")))))</f>
        <v/>
      </c>
      <c r="AB7" s="2" t="str">
        <f t="shared" si="6"/>
        <v/>
      </c>
      <c r="AC7" s="2" t="str" cm="1">
        <f t="array" ref="AC7">IFERROR(_xlfn.IFS(IF(AND(LEN(I7)=0,ISBLANK(I7)=FALSE),"",ISNUMBER(SEARCH(I7,H7))),"City/Postal Code/Country Found in Address",IF(AND(LEN(K7)=0,ISBLANK(K7)=FALSE),"",ISNUMBER(SEARCH(K7,H7))),"City/Postal Code/Country Found in Address",IF(AND(LEN(L7)=0,ISBLANK(L7)=FALSE),"",ISNUMBER(SEARCH(", "&amp;L7,H7))),"City/Postal Code/Country Found in Address",IF(AND(LEN(J7)=0,ISBLANK(J7)=FALSE),"",ISNUMBER(SEARCH(", "&amp;J7,H7))),"City/Postal Code/Country Found in Address",IF(AND(LEN(L7)=0,ISBLANK(L7)=FALSE),"",ISNUMBER(SEARCH(","&amp;L7,H7))),"City/Postal Code/Country Found in Address",IF(AND(LEN(J7)=0,ISBLANK(J7)=FALSE),"",ISNUMBER(SEARCH(","&amp;J7,H7))),"City/Postal Code/Country Found in Address"),"")</f>
        <v/>
      </c>
      <c r="AD7" s="2" t="str">
        <f t="shared" si="7"/>
        <v/>
      </c>
      <c r="AE7" s="2" t="str" cm="1">
        <f t="array" ref="AE7">IFERROR(IF(VLOOKUP(LEFT(M7,MIN(SEARCH({1,2,3,4,5,6,7,8,9,0},M7&amp;{1,2,3,4,5,6,7,8,9,0}))-1),'Country Codes'!$N:$N,1,0)&gt;0,"PO Number may be incorrect",""),"")</f>
        <v/>
      </c>
      <c r="AF7" s="2" t="str">
        <f t="shared" si="8"/>
        <v/>
      </c>
      <c r="AG7" s="2" t="str">
        <f t="shared" si="9"/>
        <v/>
      </c>
      <c r="AH7" s="2" t="str">
        <f t="shared" si="10"/>
        <v/>
      </c>
      <c r="AI7" s="2" t="str" cm="1">
        <f t="array" ref="AI7">IF(G7="","",_xlfn.IFNA(_xlfn.IFS(L7=VLOOKUP(L7,'Country Codes'!$M:$M,1,0)=TRUE,""),"Please check the country code"))</f>
        <v/>
      </c>
      <c r="AJ7" s="2" t="str">
        <f t="shared" si="11"/>
        <v/>
      </c>
      <c r="AK7" s="2"/>
      <c r="AM7" s="43">
        <f t="shared" si="12"/>
        <v>0</v>
      </c>
      <c r="AN7" s="43">
        <f t="shared" si="13"/>
        <v>0</v>
      </c>
      <c r="AO7" s="43">
        <f t="shared" si="14"/>
        <v>0</v>
      </c>
      <c r="AP7" s="43">
        <f t="shared" si="15"/>
        <v>0</v>
      </c>
      <c r="AQ7" s="43">
        <f t="shared" si="16"/>
        <v>0</v>
      </c>
      <c r="AS7" s="31"/>
    </row>
    <row r="8" spans="1:49" ht="15.75" x14ac:dyDescent="0.25">
      <c r="A8" s="16" t="s">
        <v>471</v>
      </c>
      <c r="B8" s="11" t="s">
        <v>482</v>
      </c>
      <c r="C8" s="11" t="s">
        <v>11</v>
      </c>
      <c r="D8" s="11" t="s">
        <v>493</v>
      </c>
      <c r="E8" s="11" t="s">
        <v>494</v>
      </c>
      <c r="F8" s="11" t="s">
        <v>539</v>
      </c>
      <c r="G8" s="11" t="s">
        <v>505</v>
      </c>
      <c r="H8" s="11" t="s">
        <v>511</v>
      </c>
      <c r="I8" s="11" t="s">
        <v>457</v>
      </c>
      <c r="J8" s="11" t="s">
        <v>107</v>
      </c>
      <c r="K8" s="11" t="s">
        <v>472</v>
      </c>
      <c r="L8" s="11" t="s">
        <v>33</v>
      </c>
      <c r="M8" s="11" t="s">
        <v>30</v>
      </c>
      <c r="N8" s="11" t="s">
        <v>30</v>
      </c>
      <c r="O8" s="11" t="s">
        <v>518</v>
      </c>
      <c r="P8" s="11" t="s">
        <v>30</v>
      </c>
      <c r="Q8" s="7"/>
      <c r="R8" s="2" t="str">
        <f t="shared" si="0"/>
        <v>Unique Record</v>
      </c>
      <c r="S8" s="2" t="str">
        <f t="shared" si="1"/>
        <v/>
      </c>
      <c r="T8" s="2" t="str">
        <f t="shared" si="2"/>
        <v/>
      </c>
      <c r="U8" s="2" t="str">
        <f t="shared" si="3"/>
        <v/>
      </c>
      <c r="V8" s="2" t="str">
        <f t="shared" si="4"/>
        <v/>
      </c>
      <c r="W8" s="2" t="str">
        <f t="shared" si="5"/>
        <v/>
      </c>
      <c r="X8" s="2" t="str" cm="1">
        <f t="array" ref="X8">IF((SUMPRODUCT(--ISNUMBER(SEARCH({"!","@","#","$","%","^","&amp;","~*","(",")","_","+","=","{","}","[","]","|","\",":",";","'","""","&lt;","&gt;",",",".","~?","/","~~","`"}, I8)))&gt;0)=TRUE,"Special Characters Found in City","")</f>
        <v/>
      </c>
      <c r="Y8" s="2" t="str" cm="1">
        <f t="array" ref="Y8">IF((SUMPRODUCT(--ISNUMBER(SEARCH({"!","@","#","$","%","^","~*","(",")","_","+","=","{","}","[","]","|","\",":",";","'","""","&lt;","&gt;","~?","/","~~","`"},F8)))&gt;0)=TRUE,"Special Characters Found in Account field","")</f>
        <v/>
      </c>
      <c r="Z8" s="2" t="str" cm="1">
        <f t="array" ref="Z8">IF(SUM(--ISNUMBER(SEARCH({1,2,3,4,5,6,7,8,9,0},MID(H8,(SEARCH(" E ",H8)-1),1))))+SUM(--ISNUMBER(SEARCH({1,2,3,4,5,6,7,8,9,0},MID(H8,(SEARCH(" E ",H8)+3),1))))=2,"",IF(SUM(--ISNUMBER(SEARCH({"Parte E","Apoquindo N"},H8)))&gt;0,"",IF(OR(RIGHT(H8,3)=" NE",RIGHT(H8,3)=" NW",RIGHT(H8,3)=" SW",RIGHT(H8,3)=" SE",RIGHT(H8,2)=" N",RIGHT(H8,2)=" E",RIGHT(H8,2)=" W",RIGHT(H8,2)=" S",LEFT(H8,3)="NE ",LEFT(H8,3)="NW ",LEFT(H8,3)="SW ",LEFT(H8,3)="SE ",LEFT(H8,2)="N ",LEFT(H8,2)="E ",LEFT(H8,2)="W ",LEFT(H8,2)="S "),"Directional Check",IF(SUM(--ISNUMBER(SEARCH({" N "," E "," W "," S "," NE "," NW "," SW "," SE ","N.E","N.W","S.W","S.E","E.","N.","S.","W."},H8)))&gt;0,"Directional Check",IF(SUM(--ISNUMBER(SEARCH({1,2,3,4,5,6,7,8,9,0},MID(H8,(SEARCH("nd ",H8)-1),1))))+SUM(--ISNUMBER(SEARCH({1,2,3,4,5,6,7,8,9,0},MID(H8,(SEARCH("rd ",H8)-1),1)))+SUM(--ISNUMBER(SEARCH({1,2,3,4,5,6,7,8,9,0},MID(H8,(SEARCH("st ",H8)-1),1))))+SUM(--ISNUMBER(SEARCH({1,2,3,4,5,6,7,8,9,0},MID(H8,(SEARCH("th ",H8)-1),1)))))&gt;0,"","")))))</f>
        <v/>
      </c>
      <c r="AA8" s="2" t="str">
        <f>IF(IF(L8="US",IFERROR(VLOOKUP(J8,'Country Codes'!$B:$B,1,0)=J8,"US State Code Error"),IF(L8="CA",IFERROR(VLOOKUP(J8,'Country Codes'!$E:$E,1,0)=J8,"Canada State Code Error"),IF(L8="BR",IFERROR(VLOOKUP(J8,'Country Codes'!$H:$H,1,0)=J8,"Brazil State Code Error"),IF(L8="AU",IFERROR(VLOOKUP(J8,'Country Codes'!$K:$K,1,0)=J8,"Australia State Code Error"),""))))=TRUE,"",IF(L8="US",IFERROR(VLOOKUP(J8,'Country Codes'!$B:$B,1,0)=J8,"US State Code Error"),IF(L8="CA",IFERROR(VLOOKUP(J8,'Country Codes'!$E:$E,1,0)=J8,"Canada State Code Error"),IF(L8="BR",IFERROR(VLOOKUP(J8,'Country Codes'!$H:$H,1,0)=J8,"Brazil State Code Error"),IF(L8="AU",IFERROR(VLOOKUP(J8,'Country Codes'!$K:$K,1,0)=J8,"Australia State Code Error"),"")))))</f>
        <v/>
      </c>
      <c r="AB8" s="2" t="str">
        <f t="shared" si="6"/>
        <v/>
      </c>
      <c r="AC8" s="2" t="str" cm="1">
        <f t="array" ref="AC8">IFERROR(_xlfn.IFS(IF(AND(LEN(I8)=0,ISBLANK(I8)=FALSE),"",ISNUMBER(SEARCH(I8,H8))),"City/Postal Code/Country Found in Address",IF(AND(LEN(K8)=0,ISBLANK(K8)=FALSE),"",ISNUMBER(SEARCH(K8,H8))),"City/Postal Code/Country Found in Address",IF(AND(LEN(L8)=0,ISBLANK(L8)=FALSE),"",ISNUMBER(SEARCH(", "&amp;L8,H8))),"City/Postal Code/Country Found in Address",IF(AND(LEN(J8)=0,ISBLANK(J8)=FALSE),"",ISNUMBER(SEARCH(", "&amp;J8,H8))),"City/Postal Code/Country Found in Address",IF(AND(LEN(L8)=0,ISBLANK(L8)=FALSE),"",ISNUMBER(SEARCH(","&amp;L8,H8))),"City/Postal Code/Country Found in Address",IF(AND(LEN(J8)=0,ISBLANK(J8)=FALSE),"",ISNUMBER(SEARCH(","&amp;J8,H8))),"City/Postal Code/Country Found in Address"),"")</f>
        <v/>
      </c>
      <c r="AD8" s="2" t="str">
        <f t="shared" si="7"/>
        <v/>
      </c>
      <c r="AE8" s="2" t="str" cm="1">
        <f t="array" ref="AE8">IFERROR(IF(VLOOKUP(LEFT(M8,MIN(SEARCH({1,2,3,4,5,6,7,8,9,0},M8&amp;{1,2,3,4,5,6,7,8,9,0}))-1),'Country Codes'!$N:$N,1,0)&gt;0,"PO Number may be incorrect",""),"")</f>
        <v/>
      </c>
      <c r="AF8" s="2" t="str">
        <f t="shared" si="8"/>
        <v/>
      </c>
      <c r="AG8" s="2" t="str">
        <f t="shared" si="9"/>
        <v/>
      </c>
      <c r="AH8" s="2" t="str">
        <f t="shared" si="10"/>
        <v/>
      </c>
      <c r="AI8" s="2" t="str" cm="1">
        <f t="array" ref="AI8">IF(G8="","",_xlfn.IFNA(_xlfn.IFS(L8=VLOOKUP(L8,'Country Codes'!$M:$M,1,0)=TRUE,""),"Please check the country code"))</f>
        <v/>
      </c>
      <c r="AJ8" s="2" t="str">
        <f t="shared" si="11"/>
        <v/>
      </c>
      <c r="AK8" s="2"/>
      <c r="AM8" s="43">
        <f t="shared" si="12"/>
        <v>0</v>
      </c>
      <c r="AN8" s="43">
        <f t="shared" si="13"/>
        <v>0</v>
      </c>
      <c r="AO8" s="43">
        <f t="shared" si="14"/>
        <v>0</v>
      </c>
      <c r="AP8" s="43">
        <f t="shared" si="15"/>
        <v>0</v>
      </c>
      <c r="AQ8" s="43">
        <f t="shared" si="16"/>
        <v>0</v>
      </c>
      <c r="AS8" s="31"/>
    </row>
    <row r="9" spans="1:49" ht="15.75" x14ac:dyDescent="0.25">
      <c r="A9" s="16" t="s">
        <v>455</v>
      </c>
      <c r="B9" s="11" t="s">
        <v>482</v>
      </c>
      <c r="C9" s="11" t="s">
        <v>11</v>
      </c>
      <c r="D9" s="11" t="s">
        <v>494</v>
      </c>
      <c r="E9" s="11"/>
      <c r="F9" s="11" t="s">
        <v>498</v>
      </c>
      <c r="G9" s="11" t="s">
        <v>506</v>
      </c>
      <c r="H9" s="11" t="s">
        <v>512</v>
      </c>
      <c r="I9" s="11" t="s">
        <v>453</v>
      </c>
      <c r="J9" s="11" t="s">
        <v>30</v>
      </c>
      <c r="K9" s="11" t="s">
        <v>456</v>
      </c>
      <c r="L9" s="11" t="s">
        <v>46</v>
      </c>
      <c r="M9" s="11" t="s">
        <v>515</v>
      </c>
      <c r="N9" s="11"/>
      <c r="O9" s="11" t="s">
        <v>30</v>
      </c>
      <c r="P9" s="11" t="s">
        <v>517</v>
      </c>
      <c r="Q9" s="7"/>
      <c r="R9" s="2" t="str">
        <f t="shared" si="0"/>
        <v>Unique Record</v>
      </c>
      <c r="S9" s="2" t="str">
        <f t="shared" si="1"/>
        <v/>
      </c>
      <c r="T9" s="2" t="str">
        <f t="shared" si="2"/>
        <v/>
      </c>
      <c r="U9" s="2" t="str">
        <f t="shared" si="3"/>
        <v>Billing Street - casing</v>
      </c>
      <c r="V9" s="2" t="str">
        <f t="shared" si="4"/>
        <v/>
      </c>
      <c r="W9" s="2" t="str">
        <f t="shared" si="5"/>
        <v/>
      </c>
      <c r="X9" s="2" t="str" cm="1">
        <f t="array" ref="X9">IF((SUMPRODUCT(--ISNUMBER(SEARCH({"!","@","#","$","%","^","&amp;","~*","(",")","_","+","=","{","}","[","]","|","\",":",";","'","""","&lt;","&gt;",",",".","~?","/","~~","`"}, I9)))&gt;0)=TRUE,"Special Characters Found in City","")</f>
        <v/>
      </c>
      <c r="Y9" s="2" t="str" cm="1">
        <f t="array" ref="Y9">IF((SUMPRODUCT(--ISNUMBER(SEARCH({"!","@","#","$","%","^","~*","(",")","_","+","=","{","}","[","]","|","\",":",";","'","""","&lt;","&gt;","~?","/","~~","`"},F9)))&gt;0)=TRUE,"Special Characters Found in Account field","")</f>
        <v/>
      </c>
      <c r="Z9" s="2" t="str" cm="1">
        <f t="array" ref="Z9">IF(SUM(--ISNUMBER(SEARCH({1,2,3,4,5,6,7,8,9,0},MID(H9,(SEARCH(" E ",H9)-1),1))))+SUM(--ISNUMBER(SEARCH({1,2,3,4,5,6,7,8,9,0},MID(H9,(SEARCH(" E ",H9)+3),1))))=2,"",IF(SUM(--ISNUMBER(SEARCH({"Parte E","Apoquindo N"},H9)))&gt;0,"",IF(OR(RIGHT(H9,3)=" NE",RIGHT(H9,3)=" NW",RIGHT(H9,3)=" SW",RIGHT(H9,3)=" SE",RIGHT(H9,2)=" N",RIGHT(H9,2)=" E",RIGHT(H9,2)=" W",RIGHT(H9,2)=" S",LEFT(H9,3)="NE ",LEFT(H9,3)="NW ",LEFT(H9,3)="SW ",LEFT(H9,3)="SE ",LEFT(H9,2)="N ",LEFT(H9,2)="E ",LEFT(H9,2)="W ",LEFT(H9,2)="S "),"Directional Check",IF(SUM(--ISNUMBER(SEARCH({" N "," E "," W "," S "," NE "," NW "," SW "," SE ","N.E","N.W","S.W","S.E","E.","N.","S.","W."},H9)))&gt;0,"Directional Check",IF(SUM(--ISNUMBER(SEARCH({1,2,3,4,5,6,7,8,9,0},MID(H9,(SEARCH("nd ",H9)-1),1))))+SUM(--ISNUMBER(SEARCH({1,2,3,4,5,6,7,8,9,0},MID(H9,(SEARCH("rd ",H9)-1),1)))+SUM(--ISNUMBER(SEARCH({1,2,3,4,5,6,7,8,9,0},MID(H9,(SEARCH("st ",H9)-1),1))))+SUM(--ISNUMBER(SEARCH({1,2,3,4,5,6,7,8,9,0},MID(H9,(SEARCH("th ",H9)-1),1)))))&gt;0,"","")))))</f>
        <v/>
      </c>
      <c r="AA9" s="2" t="str">
        <f>IF(IF(L9="US",IFERROR(VLOOKUP(J9,'Country Codes'!$B:$B,1,0)=J9,"US State Code Error"),IF(L9="CA",IFERROR(VLOOKUP(J9,'Country Codes'!$E:$E,1,0)=J9,"Canada State Code Error"),IF(L9="BR",IFERROR(VLOOKUP(J9,'Country Codes'!$H:$H,1,0)=J9,"Brazil State Code Error"),IF(L9="AU",IFERROR(VLOOKUP(J9,'Country Codes'!$K:$K,1,0)=J9,"Australia State Code Error"),""))))=TRUE,"",IF(L9="US",IFERROR(VLOOKUP(J9,'Country Codes'!$B:$B,1,0)=J9,"US State Code Error"),IF(L9="CA",IFERROR(VLOOKUP(J9,'Country Codes'!$E:$E,1,0)=J9,"Canada State Code Error"),IF(L9="BR",IFERROR(VLOOKUP(J9,'Country Codes'!$H:$H,1,0)=J9,"Brazil State Code Error"),IF(L9="AU",IFERROR(VLOOKUP(J9,'Country Codes'!$K:$K,1,0)=J9,"Australia State Code Error"),"")))))</f>
        <v/>
      </c>
      <c r="AB9" s="2" t="str">
        <f t="shared" si="6"/>
        <v/>
      </c>
      <c r="AC9" s="2" t="str" cm="1">
        <f t="array" ref="AC9">IFERROR(_xlfn.IFS(IF(AND(LEN(I9)=0,ISBLANK(I9)=FALSE),"",ISNUMBER(SEARCH(I9,H9))),"City/Postal Code/Country Found in Address",IF(AND(LEN(K9)=0,ISBLANK(K9)=FALSE),"",ISNUMBER(SEARCH(K9,H9))),"City/Postal Code/Country Found in Address",IF(AND(LEN(L9)=0,ISBLANK(L9)=FALSE),"",ISNUMBER(SEARCH(", "&amp;L9,H9))),"City/Postal Code/Country Found in Address",IF(AND(LEN(J9)=0,ISBLANK(J9)=FALSE),"",ISNUMBER(SEARCH(", "&amp;J9,H9))),"City/Postal Code/Country Found in Address",IF(AND(LEN(L9)=0,ISBLANK(L9)=FALSE),"",ISNUMBER(SEARCH(","&amp;L9,H9))),"City/Postal Code/Country Found in Address",IF(AND(LEN(J9)=0,ISBLANK(J9)=FALSE),"",ISNUMBER(SEARCH(","&amp;J9,H9))),"City/Postal Code/Country Found in Address"),"")</f>
        <v/>
      </c>
      <c r="AD9" s="2" t="str">
        <f t="shared" si="7"/>
        <v/>
      </c>
      <c r="AE9" s="2" t="str" cm="1">
        <f t="array" ref="AE9">IFERROR(IF(VLOOKUP(LEFT(M9,MIN(SEARCH({1,2,3,4,5,6,7,8,9,0},M9&amp;{1,2,3,4,5,6,7,8,9,0}))-1),'Country Codes'!$N:$N,1,0)&gt;0,"PO Number may be incorrect",""),"")</f>
        <v/>
      </c>
      <c r="AF9" s="2" t="str">
        <f t="shared" si="8"/>
        <v/>
      </c>
      <c r="AG9" s="2" t="str">
        <f t="shared" si="9"/>
        <v/>
      </c>
      <c r="AH9" s="2" t="str">
        <f t="shared" si="10"/>
        <v/>
      </c>
      <c r="AI9" s="2" t="str" cm="1">
        <f t="array" ref="AI9">IF(G9="","",_xlfn.IFNA(_xlfn.IFS(L9=VLOOKUP(L9,'Country Codes'!$M:$M,1,0)=TRUE,""),"Please check the country code"))</f>
        <v/>
      </c>
      <c r="AJ9" s="2" t="str">
        <f t="shared" si="11"/>
        <v xml:space="preserve">Billing Street - casing; </v>
      </c>
      <c r="AK9" s="2"/>
      <c r="AM9" s="43">
        <f t="shared" si="12"/>
        <v>1</v>
      </c>
      <c r="AN9" s="43">
        <f t="shared" si="13"/>
        <v>0</v>
      </c>
      <c r="AO9" s="43">
        <f t="shared" si="14"/>
        <v>0</v>
      </c>
      <c r="AP9" s="43">
        <f t="shared" si="15"/>
        <v>0</v>
      </c>
      <c r="AQ9" s="43">
        <f t="shared" si="16"/>
        <v>1</v>
      </c>
      <c r="AS9" s="31"/>
    </row>
    <row r="10" spans="1:49" ht="15.75" x14ac:dyDescent="0.25">
      <c r="A10" s="16" t="s">
        <v>455</v>
      </c>
      <c r="B10" s="11" t="s">
        <v>482</v>
      </c>
      <c r="C10" s="11" t="s">
        <v>12</v>
      </c>
      <c r="D10" s="11" t="s">
        <v>30</v>
      </c>
      <c r="E10" s="11" t="s">
        <v>495</v>
      </c>
      <c r="F10" s="11" t="s">
        <v>498</v>
      </c>
      <c r="G10" s="11" t="s">
        <v>506</v>
      </c>
      <c r="H10" s="11" t="s">
        <v>541</v>
      </c>
      <c r="I10" s="11" t="s">
        <v>453</v>
      </c>
      <c r="J10" s="11" t="s">
        <v>30</v>
      </c>
      <c r="K10" s="11" t="s">
        <v>456</v>
      </c>
      <c r="L10" s="11" t="s">
        <v>46</v>
      </c>
      <c r="M10" s="11" t="s">
        <v>515</v>
      </c>
      <c r="N10" s="11"/>
      <c r="O10" s="11" t="s">
        <v>30</v>
      </c>
      <c r="P10" s="11" t="s">
        <v>517</v>
      </c>
      <c r="Q10" s="7"/>
      <c r="R10" s="2" t="str">
        <f t="shared" si="0"/>
        <v/>
      </c>
      <c r="S10" s="2" t="str">
        <f t="shared" si="1"/>
        <v/>
      </c>
      <c r="T10" s="2" t="str">
        <f t="shared" si="2"/>
        <v/>
      </c>
      <c r="U10" s="2" t="str">
        <f t="shared" si="3"/>
        <v/>
      </c>
      <c r="V10" s="2" t="str">
        <f t="shared" si="4"/>
        <v/>
      </c>
      <c r="W10" s="2" t="str">
        <f t="shared" si="5"/>
        <v/>
      </c>
      <c r="X10" s="2" t="str" cm="1">
        <f t="array" ref="X10">IF((SUMPRODUCT(--ISNUMBER(SEARCH({"!","@","#","$","%","^","&amp;","~*","(",")","_","+","=","{","}","[","]","|","\",":",";","'","""","&lt;","&gt;",",",".","~?","/","~~","`"}, I10)))&gt;0)=TRUE,"Special Characters Found in City","")</f>
        <v/>
      </c>
      <c r="Y10" s="2" t="str" cm="1">
        <f t="array" ref="Y10">IF((SUMPRODUCT(--ISNUMBER(SEARCH({"!","@","#","$","%","^","~*","(",")","_","+","=","{","}","[","]","|","\",":",";","'","""","&lt;","&gt;","~?","/","~~","`"},F10)))&gt;0)=TRUE,"Special Characters Found in Account field","")</f>
        <v/>
      </c>
      <c r="Z10" s="2" t="str" cm="1">
        <f t="array" ref="Z10">IF(SUM(--ISNUMBER(SEARCH({1,2,3,4,5,6,7,8,9,0},MID(H10,(SEARCH(" E ",H10)-1),1))))+SUM(--ISNUMBER(SEARCH({1,2,3,4,5,6,7,8,9,0},MID(H10,(SEARCH(" E ",H10)+3),1))))=2,"",IF(SUM(--ISNUMBER(SEARCH({"Parte E","Apoquindo N"},H10)))&gt;0,"",IF(OR(RIGHT(H10,3)=" NE",RIGHT(H10,3)=" NW",RIGHT(H10,3)=" SW",RIGHT(H10,3)=" SE",RIGHT(H10,2)=" N",RIGHT(H10,2)=" E",RIGHT(H10,2)=" W",RIGHT(H10,2)=" S",LEFT(H10,3)="NE ",LEFT(H10,3)="NW ",LEFT(H10,3)="SW ",LEFT(H10,3)="SE ",LEFT(H10,2)="N ",LEFT(H10,2)="E ",LEFT(H10,2)="W ",LEFT(H10,2)="S "),"Directional Check",IF(SUM(--ISNUMBER(SEARCH({" N "," E "," W "," S "," NE "," NW "," SW "," SE ","N.E","N.W","S.W","S.E","E.","N.","S.","W."},H10)))&gt;0,"Directional Check",IF(SUM(--ISNUMBER(SEARCH({1,2,3,4,5,6,7,8,9,0},MID(H10,(SEARCH("nd ",H10)-1),1))))+SUM(--ISNUMBER(SEARCH({1,2,3,4,5,6,7,8,9,0},MID(H10,(SEARCH("rd ",H10)-1),1)))+SUM(--ISNUMBER(SEARCH({1,2,3,4,5,6,7,8,9,0},MID(H10,(SEARCH("st ",H10)-1),1))))+SUM(--ISNUMBER(SEARCH({1,2,3,4,5,6,7,8,9,0},MID(H10,(SEARCH("th ",H10)-1),1)))))&gt;0,"","")))))</f>
        <v/>
      </c>
      <c r="AA10" s="2" t="str">
        <f>IF(IF(L10="US",IFERROR(VLOOKUP(J10,'Country Codes'!$B:$B,1,0)=J10,"US State Code Error"),IF(L10="CA",IFERROR(VLOOKUP(J10,'Country Codes'!$E:$E,1,0)=J10,"Canada State Code Error"),IF(L10="BR",IFERROR(VLOOKUP(J10,'Country Codes'!$H:$H,1,0)=J10,"Brazil State Code Error"),IF(L10="AU",IFERROR(VLOOKUP(J10,'Country Codes'!$K:$K,1,0)=J10,"Australia State Code Error"),""))))=TRUE,"",IF(L10="US",IFERROR(VLOOKUP(J10,'Country Codes'!$B:$B,1,0)=J10,"US State Code Error"),IF(L10="CA",IFERROR(VLOOKUP(J10,'Country Codes'!$E:$E,1,0)=J10,"Canada State Code Error"),IF(L10="BR",IFERROR(VLOOKUP(J10,'Country Codes'!$H:$H,1,0)=J10,"Brazil State Code Error"),IF(L10="AU",IFERROR(VLOOKUP(J10,'Country Codes'!$K:$K,1,0)=J10,"Australia State Code Error"),"")))))</f>
        <v/>
      </c>
      <c r="AB10" s="2" t="str">
        <f t="shared" si="6"/>
        <v/>
      </c>
      <c r="AC10" s="2" t="str" cm="1">
        <f t="array" ref="AC10">IFERROR(_xlfn.IFS(IF(AND(LEN(I10)=0,ISBLANK(I10)=FALSE),"",ISNUMBER(SEARCH(I10,H10))),"City/Postal Code/Country Found in Address",IF(AND(LEN(K10)=0,ISBLANK(K10)=FALSE),"",ISNUMBER(SEARCH(K10,H10))),"City/Postal Code/Country Found in Address",IF(AND(LEN(L10)=0,ISBLANK(L10)=FALSE),"",ISNUMBER(SEARCH(", "&amp;L10,H10))),"City/Postal Code/Country Found in Address",IF(AND(LEN(J10)=0,ISBLANK(J10)=FALSE),"",ISNUMBER(SEARCH(", "&amp;J10,H10))),"City/Postal Code/Country Found in Address",IF(AND(LEN(L10)=0,ISBLANK(L10)=FALSE),"",ISNUMBER(SEARCH(","&amp;L10,H10))),"City/Postal Code/Country Found in Address",IF(AND(LEN(J10)=0,ISBLANK(J10)=FALSE),"",ISNUMBER(SEARCH(","&amp;J10,H10))),"City/Postal Code/Country Found in Address"),"")</f>
        <v/>
      </c>
      <c r="AD10" s="2" t="str">
        <f t="shared" si="7"/>
        <v/>
      </c>
      <c r="AE10" s="2" t="str" cm="1">
        <f t="array" ref="AE10">IFERROR(IF(VLOOKUP(LEFT(M10,MIN(SEARCH({1,2,3,4,5,6,7,8,9,0},M10&amp;{1,2,3,4,5,6,7,8,9,0}))-1),'Country Codes'!$N:$N,1,0)&gt;0,"PO Number may be incorrect",""),"")</f>
        <v/>
      </c>
      <c r="AF10" s="2" t="str">
        <f t="shared" si="8"/>
        <v/>
      </c>
      <c r="AG10" s="2" t="str">
        <f t="shared" si="9"/>
        <v/>
      </c>
      <c r="AH10" s="2" t="str">
        <f t="shared" si="10"/>
        <v/>
      </c>
      <c r="AI10" s="2" t="str" cm="1">
        <f t="array" ref="AI10">IF(G10="","",_xlfn.IFNA(_xlfn.IFS(L10=VLOOKUP(L10,'Country Codes'!$M:$M,1,0)=TRUE,""),"Please check the country code"))</f>
        <v/>
      </c>
      <c r="AJ10" s="2" t="str">
        <f t="shared" si="11"/>
        <v/>
      </c>
      <c r="AK10" s="2"/>
      <c r="AM10" s="43">
        <f t="shared" si="12"/>
        <v>0</v>
      </c>
      <c r="AN10" s="43">
        <f t="shared" si="13"/>
        <v>0</v>
      </c>
      <c r="AO10" s="43">
        <f t="shared" si="14"/>
        <v>0</v>
      </c>
      <c r="AP10" s="43">
        <f t="shared" si="15"/>
        <v>0</v>
      </c>
      <c r="AQ10" s="43">
        <f t="shared" si="16"/>
        <v>0</v>
      </c>
    </row>
    <row r="11" spans="1:49" ht="15.75" x14ac:dyDescent="0.25">
      <c r="A11" s="16" t="s">
        <v>473</v>
      </c>
      <c r="B11" s="11" t="s">
        <v>483</v>
      </c>
      <c r="C11" s="11" t="s">
        <v>11</v>
      </c>
      <c r="D11" s="11" t="s">
        <v>494</v>
      </c>
      <c r="E11" s="11" t="s">
        <v>30</v>
      </c>
      <c r="F11" s="11" t="s">
        <v>499</v>
      </c>
      <c r="G11" s="11" t="s">
        <v>507</v>
      </c>
      <c r="H11" s="11" t="s">
        <v>513</v>
      </c>
      <c r="I11" s="11" t="s">
        <v>474</v>
      </c>
      <c r="J11" s="11" t="s">
        <v>57</v>
      </c>
      <c r="K11" s="11" t="s">
        <v>475</v>
      </c>
      <c r="L11" s="11" t="s">
        <v>33</v>
      </c>
      <c r="M11" s="11" t="s">
        <v>30</v>
      </c>
      <c r="N11" s="11" t="s">
        <v>30</v>
      </c>
      <c r="O11" s="11" t="s">
        <v>30</v>
      </c>
      <c r="P11" s="11" t="s">
        <v>452</v>
      </c>
      <c r="Q11" s="7"/>
      <c r="R11" s="2" t="str">
        <f t="shared" si="0"/>
        <v>Unique Record</v>
      </c>
      <c r="S11" s="2" t="str">
        <f t="shared" si="1"/>
        <v/>
      </c>
      <c r="T11" s="2" t="str">
        <f t="shared" si="2"/>
        <v/>
      </c>
      <c r="U11" s="2" t="str">
        <f t="shared" si="3"/>
        <v/>
      </c>
      <c r="V11" s="2" t="str">
        <f t="shared" si="4"/>
        <v/>
      </c>
      <c r="W11" s="2" t="str">
        <f t="shared" si="5"/>
        <v/>
      </c>
      <c r="X11" s="2" t="str" cm="1">
        <f t="array" ref="X11">IF((SUMPRODUCT(--ISNUMBER(SEARCH({"!","@","#","$","%","^","&amp;","~*","(",")","_","+","=","{","}","[","]","|","\",":",";","'","""","&lt;","&gt;",",",".","~?","/","~~","`"}, I11)))&gt;0)=TRUE,"Special Characters Found in City","")</f>
        <v/>
      </c>
      <c r="Y11" s="2" t="str" cm="1">
        <f t="array" ref="Y11">IF((SUMPRODUCT(--ISNUMBER(SEARCH({"!","@","#","$","%","^","~*","(",")","_","+","=","{","}","[","]","|","\",":",";","'","""","&lt;","&gt;","~?","/","~~","`"},F11)))&gt;0)=TRUE,"Special Characters Found in Account field","")</f>
        <v/>
      </c>
      <c r="Z11" s="2" t="str" cm="1">
        <f t="array" ref="Z11">IF(SUM(--ISNUMBER(SEARCH({1,2,3,4,5,6,7,8,9,0},MID(H11,(SEARCH(" E ",H11)-1),1))))+SUM(--ISNUMBER(SEARCH({1,2,3,4,5,6,7,8,9,0},MID(H11,(SEARCH(" E ",H11)+3),1))))=2,"",IF(SUM(--ISNUMBER(SEARCH({"Parte E","Apoquindo N"},H11)))&gt;0,"",IF(OR(RIGHT(H11,3)=" NE",RIGHT(H11,3)=" NW",RIGHT(H11,3)=" SW",RIGHT(H11,3)=" SE",RIGHT(H11,2)=" N",RIGHT(H11,2)=" E",RIGHT(H11,2)=" W",RIGHT(H11,2)=" S",LEFT(H11,3)="NE ",LEFT(H11,3)="NW ",LEFT(H11,3)="SW ",LEFT(H11,3)="SE ",LEFT(H11,2)="N ",LEFT(H11,2)="E ",LEFT(H11,2)="W ",LEFT(H11,2)="S "),"Directional Check",IF(SUM(--ISNUMBER(SEARCH({" N "," E "," W "," S "," NE "," NW "," SW "," SE ","N.E","N.W","S.W","S.E","E.","N.","S.","W."},H11)))&gt;0,"Directional Check",IF(SUM(--ISNUMBER(SEARCH({1,2,3,4,5,6,7,8,9,0},MID(H11,(SEARCH("nd ",H11)-1),1))))+SUM(--ISNUMBER(SEARCH({1,2,3,4,5,6,7,8,9,0},MID(H11,(SEARCH("rd ",H11)-1),1)))+SUM(--ISNUMBER(SEARCH({1,2,3,4,5,6,7,8,9,0},MID(H11,(SEARCH("st ",H11)-1),1))))+SUM(--ISNUMBER(SEARCH({1,2,3,4,5,6,7,8,9,0},MID(H11,(SEARCH("th ",H11)-1),1)))))&gt;0,"","")))))</f>
        <v/>
      </c>
      <c r="AA11" s="2" t="str">
        <f>IF(IF(L11="US",IFERROR(VLOOKUP(J11,'Country Codes'!$B:$B,1,0)=J11,"US State Code Error"),IF(L11="CA",IFERROR(VLOOKUP(J11,'Country Codes'!$E:$E,1,0)=J11,"Canada State Code Error"),IF(L11="BR",IFERROR(VLOOKUP(J11,'Country Codes'!$H:$H,1,0)=J11,"Brazil State Code Error"),IF(L11="AU",IFERROR(VLOOKUP(J11,'Country Codes'!$K:$K,1,0)=J11,"Australia State Code Error"),""))))=TRUE,"",IF(L11="US",IFERROR(VLOOKUP(J11,'Country Codes'!$B:$B,1,0)=J11,"US State Code Error"),IF(L11="CA",IFERROR(VLOOKUP(J11,'Country Codes'!$E:$E,1,0)=J11,"Canada State Code Error"),IF(L11="BR",IFERROR(VLOOKUP(J11,'Country Codes'!$H:$H,1,0)=J11,"Brazil State Code Error"),IF(L11="AU",IFERROR(VLOOKUP(J11,'Country Codes'!$K:$K,1,0)=J11,"Australia State Code Error"),"")))))</f>
        <v/>
      </c>
      <c r="AB11" s="2" t="str">
        <f t="shared" si="6"/>
        <v/>
      </c>
      <c r="AC11" s="2" t="str" cm="1">
        <f t="array" ref="AC11">IFERROR(_xlfn.IFS(IF(AND(LEN(I11)=0,ISBLANK(I11)=FALSE),"",ISNUMBER(SEARCH(I11,H11))),"City/Postal Code/Country Found in Address",IF(AND(LEN(K11)=0,ISBLANK(K11)=FALSE),"",ISNUMBER(SEARCH(K11,H11))),"City/Postal Code/Country Found in Address",IF(AND(LEN(L11)=0,ISBLANK(L11)=FALSE),"",ISNUMBER(SEARCH(", "&amp;L11,H11))),"City/Postal Code/Country Found in Address",IF(AND(LEN(J11)=0,ISBLANK(J11)=FALSE),"",ISNUMBER(SEARCH(", "&amp;J11,H11))),"City/Postal Code/Country Found in Address",IF(AND(LEN(L11)=0,ISBLANK(L11)=FALSE),"",ISNUMBER(SEARCH(","&amp;L11,H11))),"City/Postal Code/Country Found in Address",IF(AND(LEN(J11)=0,ISBLANK(J11)=FALSE),"",ISNUMBER(SEARCH(","&amp;J11,H11))),"City/Postal Code/Country Found in Address"),"")</f>
        <v/>
      </c>
      <c r="AD11" s="2" t="str">
        <f t="shared" si="7"/>
        <v/>
      </c>
      <c r="AE11" s="2" t="str" cm="1">
        <f t="array" ref="AE11">IFERROR(IF(VLOOKUP(LEFT(M11,MIN(SEARCH({1,2,3,4,5,6,7,8,9,0},M11&amp;{1,2,3,4,5,6,7,8,9,0}))-1),'Country Codes'!$N:$N,1,0)&gt;0,"PO Number may be incorrect",""),"")</f>
        <v/>
      </c>
      <c r="AF11" s="2" t="str">
        <f t="shared" si="8"/>
        <v/>
      </c>
      <c r="AG11" s="2" t="str">
        <f t="shared" si="9"/>
        <v/>
      </c>
      <c r="AH11" s="2" t="str">
        <f t="shared" si="10"/>
        <v/>
      </c>
      <c r="AI11" s="2" t="str" cm="1">
        <f t="array" ref="AI11">IF(G11="","",_xlfn.IFNA(_xlfn.IFS(L11=VLOOKUP(L11,'Country Codes'!$M:$M,1,0)=TRUE,""),"Please check the country code"))</f>
        <v/>
      </c>
      <c r="AJ11" s="2" t="str">
        <f t="shared" si="11"/>
        <v/>
      </c>
      <c r="AK11" s="2"/>
      <c r="AM11" s="43">
        <f t="shared" si="12"/>
        <v>0</v>
      </c>
      <c r="AN11" s="43">
        <f t="shared" si="13"/>
        <v>0</v>
      </c>
      <c r="AO11" s="43">
        <f t="shared" si="14"/>
        <v>0</v>
      </c>
      <c r="AP11" s="43">
        <f t="shared" si="15"/>
        <v>0</v>
      </c>
      <c r="AQ11" s="43">
        <f t="shared" si="16"/>
        <v>0</v>
      </c>
    </row>
    <row r="12" spans="1:49" ht="15.75" x14ac:dyDescent="0.25">
      <c r="A12" s="16" t="s">
        <v>473</v>
      </c>
      <c r="B12" s="11" t="s">
        <v>483</v>
      </c>
      <c r="C12" s="11" t="s">
        <v>12</v>
      </c>
      <c r="D12" s="11" t="s">
        <v>30</v>
      </c>
      <c r="E12" s="11" t="s">
        <v>452</v>
      </c>
      <c r="F12" s="11" t="s">
        <v>499</v>
      </c>
      <c r="G12" s="11" t="s">
        <v>507</v>
      </c>
      <c r="H12" s="11" t="s">
        <v>513</v>
      </c>
      <c r="I12" s="11" t="s">
        <v>474</v>
      </c>
      <c r="J12" s="11" t="s">
        <v>57</v>
      </c>
      <c r="K12" s="11" t="s">
        <v>475</v>
      </c>
      <c r="L12" s="11" t="s">
        <v>33</v>
      </c>
      <c r="M12" s="11" t="s">
        <v>30</v>
      </c>
      <c r="N12" s="11" t="s">
        <v>30</v>
      </c>
      <c r="O12" s="11" t="s">
        <v>30</v>
      </c>
      <c r="P12" s="11" t="s">
        <v>452</v>
      </c>
      <c r="Q12" s="7"/>
      <c r="R12" s="2" t="str">
        <f t="shared" si="0"/>
        <v/>
      </c>
      <c r="S12" s="2" t="str">
        <f t="shared" si="1"/>
        <v/>
      </c>
      <c r="T12" s="2" t="str">
        <f t="shared" si="2"/>
        <v/>
      </c>
      <c r="U12" s="2" t="str">
        <f t="shared" si="3"/>
        <v/>
      </c>
      <c r="V12" s="2" t="str">
        <f t="shared" si="4"/>
        <v/>
      </c>
      <c r="W12" s="2" t="str">
        <f t="shared" si="5"/>
        <v/>
      </c>
      <c r="X12" s="2" t="str" cm="1">
        <f t="array" ref="X12">IF((SUMPRODUCT(--ISNUMBER(SEARCH({"!","@","#","$","%","^","&amp;","~*","(",")","_","+","=","{","}","[","]","|","\",":",";","'","""","&lt;","&gt;",",",".","~?","/","~~","`"}, I12)))&gt;0)=TRUE,"Special Characters Found in City","")</f>
        <v/>
      </c>
      <c r="Y12" s="2" t="str" cm="1">
        <f t="array" ref="Y12">IF((SUMPRODUCT(--ISNUMBER(SEARCH({"!","@","#","$","%","^","~*","(",")","_","+","=","{","}","[","]","|","\",":",";","'","""","&lt;","&gt;","~?","/","~~","`"},F12)))&gt;0)=TRUE,"Special Characters Found in Account field","")</f>
        <v/>
      </c>
      <c r="Z12" s="2" t="str" cm="1">
        <f t="array" ref="Z12">IF(SUM(--ISNUMBER(SEARCH({1,2,3,4,5,6,7,8,9,0},MID(H12,(SEARCH(" E ",H12)-1),1))))+SUM(--ISNUMBER(SEARCH({1,2,3,4,5,6,7,8,9,0},MID(H12,(SEARCH(" E ",H12)+3),1))))=2,"",IF(SUM(--ISNUMBER(SEARCH({"Parte E","Apoquindo N"},H12)))&gt;0,"",IF(OR(RIGHT(H12,3)=" NE",RIGHT(H12,3)=" NW",RIGHT(H12,3)=" SW",RIGHT(H12,3)=" SE",RIGHT(H12,2)=" N",RIGHT(H12,2)=" E",RIGHT(H12,2)=" W",RIGHT(H12,2)=" S",LEFT(H12,3)="NE ",LEFT(H12,3)="NW ",LEFT(H12,3)="SW ",LEFT(H12,3)="SE ",LEFT(H12,2)="N ",LEFT(H12,2)="E ",LEFT(H12,2)="W ",LEFT(H12,2)="S "),"Directional Check",IF(SUM(--ISNUMBER(SEARCH({" N "," E "," W "," S "," NE "," NW "," SW "," SE ","N.E","N.W","S.W","S.E","E.","N.","S.","W."},H12)))&gt;0,"Directional Check",IF(SUM(--ISNUMBER(SEARCH({1,2,3,4,5,6,7,8,9,0},MID(H12,(SEARCH("nd ",H12)-1),1))))+SUM(--ISNUMBER(SEARCH({1,2,3,4,5,6,7,8,9,0},MID(H12,(SEARCH("rd ",H12)-1),1)))+SUM(--ISNUMBER(SEARCH({1,2,3,4,5,6,7,8,9,0},MID(H12,(SEARCH("st ",H12)-1),1))))+SUM(--ISNUMBER(SEARCH({1,2,3,4,5,6,7,8,9,0},MID(H12,(SEARCH("th ",H12)-1),1)))))&gt;0,"","")))))</f>
        <v/>
      </c>
      <c r="AA12" s="2" t="str">
        <f>IF(IF(L12="US",IFERROR(VLOOKUP(J12,'Country Codes'!$B:$B,1,0)=J12,"US State Code Error"),IF(L12="CA",IFERROR(VLOOKUP(J12,'Country Codes'!$E:$E,1,0)=J12,"Canada State Code Error"),IF(L12="BR",IFERROR(VLOOKUP(J12,'Country Codes'!$H:$H,1,0)=J12,"Brazil State Code Error"),IF(L12="AU",IFERROR(VLOOKUP(J12,'Country Codes'!$K:$K,1,0)=J12,"Australia State Code Error"),""))))=TRUE,"",IF(L12="US",IFERROR(VLOOKUP(J12,'Country Codes'!$B:$B,1,0)=J12,"US State Code Error"),IF(L12="CA",IFERROR(VLOOKUP(J12,'Country Codes'!$E:$E,1,0)=J12,"Canada State Code Error"),IF(L12="BR",IFERROR(VLOOKUP(J12,'Country Codes'!$H:$H,1,0)=J12,"Brazil State Code Error"),IF(L12="AU",IFERROR(VLOOKUP(J12,'Country Codes'!$K:$K,1,0)=J12,"Australia State Code Error"),"")))))</f>
        <v/>
      </c>
      <c r="AB12" s="2" t="str">
        <f t="shared" si="6"/>
        <v/>
      </c>
      <c r="AC12" s="2" t="str" cm="1">
        <f t="array" ref="AC12">IFERROR(_xlfn.IFS(IF(AND(LEN(I12)=0,ISBLANK(I12)=FALSE),"",ISNUMBER(SEARCH(I12,H12))),"City/Postal Code/Country Found in Address",IF(AND(LEN(K12)=0,ISBLANK(K12)=FALSE),"",ISNUMBER(SEARCH(K12,H12))),"City/Postal Code/Country Found in Address",IF(AND(LEN(L12)=0,ISBLANK(L12)=FALSE),"",ISNUMBER(SEARCH(", "&amp;L12,H12))),"City/Postal Code/Country Found in Address",IF(AND(LEN(J12)=0,ISBLANK(J12)=FALSE),"",ISNUMBER(SEARCH(", "&amp;J12,H12))),"City/Postal Code/Country Found in Address",IF(AND(LEN(L12)=0,ISBLANK(L12)=FALSE),"",ISNUMBER(SEARCH(","&amp;L12,H12))),"City/Postal Code/Country Found in Address",IF(AND(LEN(J12)=0,ISBLANK(J12)=FALSE),"",ISNUMBER(SEARCH(","&amp;J12,H12))),"City/Postal Code/Country Found in Address"),"")</f>
        <v/>
      </c>
      <c r="AD12" s="2" t="str">
        <f t="shared" si="7"/>
        <v/>
      </c>
      <c r="AE12" s="2" t="str" cm="1">
        <f t="array" ref="AE12">IFERROR(IF(VLOOKUP(LEFT(M12,MIN(SEARCH({1,2,3,4,5,6,7,8,9,0},M12&amp;{1,2,3,4,5,6,7,8,9,0}))-1),'Country Codes'!$N:$N,1,0)&gt;0,"PO Number may be incorrect",""),"")</f>
        <v/>
      </c>
      <c r="AF12" s="2" t="str">
        <f t="shared" si="8"/>
        <v/>
      </c>
      <c r="AG12" s="2" t="str">
        <f t="shared" si="9"/>
        <v/>
      </c>
      <c r="AH12" s="2" t="str">
        <f t="shared" si="10"/>
        <v/>
      </c>
      <c r="AI12" s="2" t="str" cm="1">
        <f t="array" ref="AI12">IF(G12="","",_xlfn.IFNA(_xlfn.IFS(L12=VLOOKUP(L12,'Country Codes'!$M:$M,1,0)=TRUE,""),"Please check the country code"))</f>
        <v/>
      </c>
      <c r="AJ12" s="2" t="str">
        <f t="shared" si="11"/>
        <v/>
      </c>
      <c r="AK12" s="2"/>
      <c r="AM12" s="43">
        <f t="shared" si="12"/>
        <v>0</v>
      </c>
      <c r="AN12" s="43">
        <f t="shared" si="13"/>
        <v>0</v>
      </c>
      <c r="AO12" s="43">
        <f t="shared" si="14"/>
        <v>0</v>
      </c>
      <c r="AP12" s="43">
        <f t="shared" si="15"/>
        <v>0</v>
      </c>
      <c r="AQ12" s="43">
        <f t="shared" si="16"/>
        <v>0</v>
      </c>
    </row>
    <row r="13" spans="1:49" s="31" customFormat="1" ht="15.75" x14ac:dyDescent="0.25">
      <c r="A13" s="16" t="s">
        <v>476</v>
      </c>
      <c r="B13" s="11" t="s">
        <v>483</v>
      </c>
      <c r="C13" s="11" t="s">
        <v>9</v>
      </c>
      <c r="D13" s="11" t="s">
        <v>30</v>
      </c>
      <c r="E13" s="11" t="s">
        <v>496</v>
      </c>
      <c r="F13" s="11" t="s">
        <v>499</v>
      </c>
      <c r="G13" s="11" t="s">
        <v>507</v>
      </c>
      <c r="H13" s="11" t="s">
        <v>513</v>
      </c>
      <c r="I13" s="11" t="s">
        <v>474</v>
      </c>
      <c r="J13" s="11" t="s">
        <v>57</v>
      </c>
      <c r="K13" s="11" t="s">
        <v>475</v>
      </c>
      <c r="L13" s="11" t="s">
        <v>33</v>
      </c>
      <c r="M13" s="11" t="s">
        <v>30</v>
      </c>
      <c r="N13" s="11" t="s">
        <v>30</v>
      </c>
      <c r="O13" s="11" t="s">
        <v>30</v>
      </c>
      <c r="P13" s="11" t="s">
        <v>452</v>
      </c>
      <c r="Q13" s="7"/>
      <c r="R13" s="30" t="str">
        <f t="shared" si="0"/>
        <v/>
      </c>
      <c r="S13" s="30" t="str">
        <f t="shared" si="1"/>
        <v/>
      </c>
      <c r="T13" s="30" t="str">
        <f t="shared" si="2"/>
        <v/>
      </c>
      <c r="U13" s="30" t="str">
        <f t="shared" si="3"/>
        <v/>
      </c>
      <c r="V13" s="30" t="str">
        <f t="shared" si="4"/>
        <v/>
      </c>
      <c r="W13" s="30" t="str">
        <f t="shared" si="5"/>
        <v/>
      </c>
      <c r="X13" s="30" t="str" cm="1">
        <f t="array" ref="X13">IF((SUMPRODUCT(--ISNUMBER(SEARCH({"!","@","#","$","%","^","&amp;","~*","(",")","_","+","=","{","}","[","]","|","\",":",";","'","""","&lt;","&gt;",",",".","~?","/","~~","`"}, I13)))&gt;0)=TRUE,"Special Characters Found in City","")</f>
        <v/>
      </c>
      <c r="Y13" s="30" t="str" cm="1">
        <f t="array" ref="Y13">IF((SUMPRODUCT(--ISNUMBER(SEARCH({"!","@","#","$","%","^","~*","(",")","_","+","=","{","}","[","]","|","\",":",";","'","""","&lt;","&gt;","~?","/","~~","`"},F13)))&gt;0)=TRUE,"Special Characters Found in Account field","")</f>
        <v/>
      </c>
      <c r="Z13" s="30" t="str" cm="1">
        <f t="array" ref="Z13">IF(SUM(--ISNUMBER(SEARCH({1,2,3,4,5,6,7,8,9,0},MID(H13,(SEARCH(" E ",H13)-1),1))))+SUM(--ISNUMBER(SEARCH({1,2,3,4,5,6,7,8,9,0},MID(H13,(SEARCH(" E ",H13)+3),1))))=2,"",IF(SUM(--ISNUMBER(SEARCH({"Parte E","Apoquindo N"},H13)))&gt;0,"",IF(OR(RIGHT(H13,3)=" NE",RIGHT(H13,3)=" NW",RIGHT(H13,3)=" SW",RIGHT(H13,3)=" SE",RIGHT(H13,2)=" N",RIGHT(H13,2)=" E",RIGHT(H13,2)=" W",RIGHT(H13,2)=" S",LEFT(H13,3)="NE ",LEFT(H13,3)="NW ",LEFT(H13,3)="SW ",LEFT(H13,3)="SE ",LEFT(H13,2)="N ",LEFT(H13,2)="E ",LEFT(H13,2)="W ",LEFT(H13,2)="S "),"Directional Check",IF(SUM(--ISNUMBER(SEARCH({" N "," E "," W "," S "," NE "," NW "," SW "," SE ","N.E","N.W","S.W","S.E","E.","N.","S.","W."},H13)))&gt;0,"Directional Check",IF(SUM(--ISNUMBER(SEARCH({1,2,3,4,5,6,7,8,9,0},MID(H13,(SEARCH("nd ",H13)-1),1))))+SUM(--ISNUMBER(SEARCH({1,2,3,4,5,6,7,8,9,0},MID(H13,(SEARCH("rd ",H13)-1),1)))+SUM(--ISNUMBER(SEARCH({1,2,3,4,5,6,7,8,9,0},MID(H13,(SEARCH("st ",H13)-1),1))))+SUM(--ISNUMBER(SEARCH({1,2,3,4,5,6,7,8,9,0},MID(H13,(SEARCH("th ",H13)-1),1)))))&gt;0,"","")))))</f>
        <v/>
      </c>
      <c r="AA13" s="30" t="str">
        <f>IF(IF(L13="US",IFERROR(VLOOKUP(J13,'Country Codes'!$B:$B,1,0)=J13,"US State Code Error"),IF(L13="CA",IFERROR(VLOOKUP(J13,'Country Codes'!$E:$E,1,0)=J13,"Canada State Code Error"),IF(L13="BR",IFERROR(VLOOKUP(J13,'Country Codes'!$H:$H,1,0)=J13,"Brazil State Code Error"),IF(L13="AU",IFERROR(VLOOKUP(J13,'Country Codes'!$K:$K,1,0)=J13,"Australia State Code Error"),""))))=TRUE,"",IF(L13="US",IFERROR(VLOOKUP(J13,'Country Codes'!$B:$B,1,0)=J13,"US State Code Error"),IF(L13="CA",IFERROR(VLOOKUP(J13,'Country Codes'!$E:$E,1,0)=J13,"Canada State Code Error"),IF(L13="BR",IFERROR(VLOOKUP(J13,'Country Codes'!$H:$H,1,0)=J13,"Brazil State Code Error"),IF(L13="AU",IFERROR(VLOOKUP(J13,'Country Codes'!$K:$K,1,0)=J13,"Australia State Code Error"),"")))))</f>
        <v/>
      </c>
      <c r="AB13" s="30" t="str">
        <f t="shared" si="6"/>
        <v/>
      </c>
      <c r="AC13" s="30" t="str" cm="1">
        <f t="array" ref="AC13">IFERROR(_xlfn.IFS(IF(AND(LEN(I13)=0,ISBLANK(I13)=FALSE),"",ISNUMBER(SEARCH(I13,H13))),"City/Postal Code/Country Found in Address",IF(AND(LEN(K13)=0,ISBLANK(K13)=FALSE),"",ISNUMBER(SEARCH(K13,H13))),"City/Postal Code/Country Found in Address",IF(AND(LEN(L13)=0,ISBLANK(L13)=FALSE),"",ISNUMBER(SEARCH(", "&amp;L13,H13))),"City/Postal Code/Country Found in Address",IF(AND(LEN(J13)=0,ISBLANK(J13)=FALSE),"",ISNUMBER(SEARCH(", "&amp;J13,H13))),"City/Postal Code/Country Found in Address",IF(AND(LEN(L13)=0,ISBLANK(L13)=FALSE),"",ISNUMBER(SEARCH(","&amp;L13,H13))),"City/Postal Code/Country Found in Address",IF(AND(LEN(J13)=0,ISBLANK(J13)=FALSE),"",ISNUMBER(SEARCH(","&amp;J13,H13))),"City/Postal Code/Country Found in Address"),"")</f>
        <v/>
      </c>
      <c r="AD13" s="30" t="str">
        <f t="shared" si="7"/>
        <v/>
      </c>
      <c r="AE13" s="30" t="str" cm="1">
        <f t="array" ref="AE13">IFERROR(IF(VLOOKUP(LEFT(M13,MIN(SEARCH({1,2,3,4,5,6,7,8,9,0},M13&amp;{1,2,3,4,5,6,7,8,9,0}))-1),'Country Codes'!$N:$N,1,0)&gt;0,"PO Number may be incorrect",""),"")</f>
        <v/>
      </c>
      <c r="AF13" s="30" t="str">
        <f t="shared" si="8"/>
        <v/>
      </c>
      <c r="AG13" s="30" t="str">
        <f t="shared" si="9"/>
        <v/>
      </c>
      <c r="AH13" s="30" t="str">
        <f t="shared" si="10"/>
        <v/>
      </c>
      <c r="AI13" s="30" t="str" cm="1">
        <f t="array" ref="AI13">IF(G13="","",_xlfn.IFNA(_xlfn.IFS(L13=VLOOKUP(L13,'Country Codes'!$M:$M,1,0)=TRUE,""),"Please check the country code"))</f>
        <v/>
      </c>
      <c r="AJ13" s="2" t="str">
        <f t="shared" si="11"/>
        <v/>
      </c>
      <c r="AK13" s="30"/>
      <c r="AM13" s="43">
        <f t="shared" si="12"/>
        <v>0</v>
      </c>
      <c r="AN13" s="43">
        <f t="shared" si="13"/>
        <v>0</v>
      </c>
      <c r="AO13" s="43">
        <f t="shared" si="14"/>
        <v>0</v>
      </c>
      <c r="AP13" s="43">
        <f t="shared" si="15"/>
        <v>0</v>
      </c>
      <c r="AQ13" s="43">
        <f t="shared" si="16"/>
        <v>0</v>
      </c>
    </row>
    <row r="14" spans="1:49" ht="15.75" x14ac:dyDescent="0.25">
      <c r="A14" s="16" t="s">
        <v>459</v>
      </c>
      <c r="B14" s="11" t="s">
        <v>482</v>
      </c>
      <c r="C14" s="11" t="s">
        <v>9</v>
      </c>
      <c r="D14" s="11" t="s">
        <v>460</v>
      </c>
      <c r="E14" s="11" t="s">
        <v>461</v>
      </c>
      <c r="F14" s="11" t="s">
        <v>488</v>
      </c>
      <c r="G14" s="11" t="s">
        <v>502</v>
      </c>
      <c r="H14" s="11" t="s">
        <v>509</v>
      </c>
      <c r="I14" s="11" t="s">
        <v>546</v>
      </c>
      <c r="J14" s="11" t="s">
        <v>97</v>
      </c>
      <c r="K14" s="11" t="s">
        <v>463</v>
      </c>
      <c r="L14" s="11" t="s">
        <v>33</v>
      </c>
      <c r="M14" s="11" t="s">
        <v>514</v>
      </c>
      <c r="N14" s="11" t="s">
        <v>30</v>
      </c>
      <c r="O14" s="11" t="s">
        <v>30</v>
      </c>
      <c r="P14" s="11" t="s">
        <v>452</v>
      </c>
      <c r="Q14" s="32"/>
      <c r="R14" s="2" t="str">
        <f t="shared" si="0"/>
        <v>Unique Record</v>
      </c>
      <c r="S14" s="2" t="str">
        <f t="shared" si="1"/>
        <v/>
      </c>
      <c r="T14" s="2" t="str">
        <f t="shared" si="2"/>
        <v/>
      </c>
      <c r="U14" s="2" t="str">
        <f t="shared" si="3"/>
        <v/>
      </c>
      <c r="V14" s="2" t="str">
        <f t="shared" si="4"/>
        <v/>
      </c>
      <c r="W14" s="2" t="str">
        <f t="shared" si="5"/>
        <v/>
      </c>
      <c r="X14" s="2" t="str" cm="1">
        <f t="array" ref="X14">IF((SUMPRODUCT(--ISNUMBER(SEARCH({"!","@","#","$","%","^","&amp;","~*","(",")","_","+","=","{","}","[","]","|","\",":",";","'","""","&lt;","&gt;",",",".","~?","/","~~","`"}, I14)))&gt;0)=TRUE,"Special Characters Found in City","")</f>
        <v>Special Characters Found in City</v>
      </c>
      <c r="Y14" s="2" t="str" cm="1">
        <f t="array" ref="Y14">IF((SUMPRODUCT(--ISNUMBER(SEARCH({"!","@","#","$","%","^","~*","(",")","_","+","=","{","}","[","]","|","\",":",";","'","""","&lt;","&gt;","~?","/","~~","`"},F14)))&gt;0)=TRUE,"Special Characters Found in Account field","")</f>
        <v/>
      </c>
      <c r="Z14" s="2" t="str" cm="1">
        <f t="array" ref="Z14">IF(SUM(--ISNUMBER(SEARCH({1,2,3,4,5,6,7,8,9,0},MID(H14,(SEARCH(" E ",H14)-1),1))))+SUM(--ISNUMBER(SEARCH({1,2,3,4,5,6,7,8,9,0},MID(H14,(SEARCH(" E ",H14)+3),1))))=2,"",IF(SUM(--ISNUMBER(SEARCH({"Parte E","Apoquindo N"},H14)))&gt;0,"",IF(OR(RIGHT(H14,3)=" NE",RIGHT(H14,3)=" NW",RIGHT(H14,3)=" SW",RIGHT(H14,3)=" SE",RIGHT(H14,2)=" N",RIGHT(H14,2)=" E",RIGHT(H14,2)=" W",RIGHT(H14,2)=" S",LEFT(H14,3)="NE ",LEFT(H14,3)="NW ",LEFT(H14,3)="SW ",LEFT(H14,3)="SE ",LEFT(H14,2)="N ",LEFT(H14,2)="E ",LEFT(H14,2)="W ",LEFT(H14,2)="S "),"Directional Check",IF(SUM(--ISNUMBER(SEARCH({" N "," E "," W "," S "," NE "," NW "," SW "," SE ","N.E","N.W","S.W","S.E","E.","N.","S.","W."},H14)))&gt;0,"Directional Check",IF(SUM(--ISNUMBER(SEARCH({1,2,3,4,5,6,7,8,9,0},MID(H14,(SEARCH("nd ",H14)-1),1))))+SUM(--ISNUMBER(SEARCH({1,2,3,4,5,6,7,8,9,0},MID(H14,(SEARCH("rd ",H14)-1),1)))+SUM(--ISNUMBER(SEARCH({1,2,3,4,5,6,7,8,9,0},MID(H14,(SEARCH("st ",H14)-1),1))))+SUM(--ISNUMBER(SEARCH({1,2,3,4,5,6,7,8,9,0},MID(H14,(SEARCH("th ",H14)-1),1)))))&gt;0,"","")))))</f>
        <v/>
      </c>
      <c r="AA14" s="2" t="str">
        <f>IF(IF(L14="US",IFERROR(VLOOKUP(J14,'Country Codes'!$B:$B,1,0)=J14,"US State Code Error"),IF(L14="CA",IFERROR(VLOOKUP(J14,'Country Codes'!$E:$E,1,0)=J14,"Canada State Code Error"),IF(L14="BR",IFERROR(VLOOKUP(J14,'Country Codes'!$H:$H,1,0)=J14,"Brazil State Code Error"),IF(L14="AU",IFERROR(VLOOKUP(J14,'Country Codes'!$K:$K,1,0)=J14,"Australia State Code Error"),""))))=TRUE,"",IF(L14="US",IFERROR(VLOOKUP(J14,'Country Codes'!$B:$B,1,0)=J14,"US State Code Error"),IF(L14="CA",IFERROR(VLOOKUP(J14,'Country Codes'!$E:$E,1,0)=J14,"Canada State Code Error"),IF(L14="BR",IFERROR(VLOOKUP(J14,'Country Codes'!$H:$H,1,0)=J14,"Brazil State Code Error"),IF(L14="AU",IFERROR(VLOOKUP(J14,'Country Codes'!$K:$K,1,0)=J14,"Australia State Code Error"),"")))))</f>
        <v/>
      </c>
      <c r="AB14" s="2" t="str">
        <f t="shared" si="6"/>
        <v/>
      </c>
      <c r="AC14" s="2" t="str" cm="1">
        <f t="array" ref="AC14">IFERROR(_xlfn.IFS(IF(AND(LEN(I14)=0,ISBLANK(I14)=FALSE),"",ISNUMBER(SEARCH(I14,H14))),"City/Postal Code/Country Found in Address",IF(AND(LEN(K14)=0,ISBLANK(K14)=FALSE),"",ISNUMBER(SEARCH(K14,H14))),"City/Postal Code/Country Found in Address",IF(AND(LEN(L14)=0,ISBLANK(L14)=FALSE),"",ISNUMBER(SEARCH(", "&amp;L14,H14))),"City/Postal Code/Country Found in Address",IF(AND(LEN(J14)=0,ISBLANK(J14)=FALSE),"",ISNUMBER(SEARCH(", "&amp;J14,H14))),"City/Postal Code/Country Found in Address",IF(AND(LEN(L14)=0,ISBLANK(L14)=FALSE),"",ISNUMBER(SEARCH(","&amp;L14,H14))),"City/Postal Code/Country Found in Address",IF(AND(LEN(J14)=0,ISBLANK(J14)=FALSE),"",ISNUMBER(SEARCH(","&amp;J14,H14))),"City/Postal Code/Country Found in Address"),"")</f>
        <v/>
      </c>
      <c r="AD14" s="2" t="str">
        <f t="shared" si="7"/>
        <v/>
      </c>
      <c r="AE14" s="2" t="str" cm="1">
        <f t="array" ref="AE14">IFERROR(IF(VLOOKUP(LEFT(M14,MIN(SEARCH({1,2,3,4,5,6,7,8,9,0},M14&amp;{1,2,3,4,5,6,7,8,9,0}))-1),'Country Codes'!$N:$N,1,0)&gt;0,"PO Number may be incorrect",""),"")</f>
        <v/>
      </c>
      <c r="AF14" s="2" t="str">
        <f t="shared" si="8"/>
        <v/>
      </c>
      <c r="AG14" s="2" t="str">
        <f t="shared" si="9"/>
        <v/>
      </c>
      <c r="AH14" s="2" t="str">
        <f t="shared" si="10"/>
        <v/>
      </c>
      <c r="AI14" s="2" t="str" cm="1">
        <f t="array" ref="AI14">IF(G14="","",_xlfn.IFNA(_xlfn.IFS(L14=VLOOKUP(L14,'Country Codes'!$M:$M,1,0)=TRUE,""),"Please check the country code"))</f>
        <v/>
      </c>
      <c r="AJ14" s="2" t="str">
        <f t="shared" si="11"/>
        <v xml:space="preserve">Special Characters Found in City; </v>
      </c>
      <c r="AK14" s="2"/>
      <c r="AM14" s="43">
        <f t="shared" si="12"/>
        <v>0</v>
      </c>
      <c r="AN14" s="43">
        <f t="shared" si="13"/>
        <v>0</v>
      </c>
      <c r="AO14" s="43">
        <f t="shared" si="14"/>
        <v>0</v>
      </c>
      <c r="AP14" s="43">
        <f t="shared" si="15"/>
        <v>1</v>
      </c>
      <c r="AQ14" s="43">
        <f t="shared" si="16"/>
        <v>1</v>
      </c>
    </row>
    <row r="15" spans="1:49" ht="15.75" x14ac:dyDescent="0.25">
      <c r="A15" s="16" t="s">
        <v>464</v>
      </c>
      <c r="B15" s="11" t="s">
        <v>482</v>
      </c>
      <c r="C15" s="11" t="s">
        <v>3</v>
      </c>
      <c r="D15" s="11" t="s">
        <v>487</v>
      </c>
      <c r="E15" s="11" t="s">
        <v>488</v>
      </c>
      <c r="F15" s="11" t="s">
        <v>488</v>
      </c>
      <c r="G15" s="11" t="s">
        <v>502</v>
      </c>
      <c r="H15" s="11" t="s">
        <v>509</v>
      </c>
      <c r="I15" s="11" t="s">
        <v>462</v>
      </c>
      <c r="J15" s="11" t="s">
        <v>97</v>
      </c>
      <c r="K15" s="11" t="s">
        <v>463</v>
      </c>
      <c r="L15" s="11" t="s">
        <v>33</v>
      </c>
      <c r="M15" s="11" t="s">
        <v>514</v>
      </c>
      <c r="N15" s="11" t="s">
        <v>30</v>
      </c>
      <c r="O15" s="11" t="s">
        <v>30</v>
      </c>
      <c r="P15" s="11" t="s">
        <v>452</v>
      </c>
      <c r="Q15" s="7"/>
      <c r="R15" s="2" t="str">
        <f t="shared" ref="R15:R46" si="17">IF(G15=G14,"","Unique Record")</f>
        <v/>
      </c>
      <c r="S15" s="2" t="str">
        <f t="shared" ref="S15:S46" si="18">IF(F15="","",IF(EXACT(F15,(UPPER(F15))),"Account Upper Case",""))</f>
        <v/>
      </c>
      <c r="T15" s="2" t="str">
        <f t="shared" ref="T15:T46" si="19">IF(F15="","",IF(EXACT(F15,(LOWER(F15))),"Account Lower Case",""))</f>
        <v/>
      </c>
      <c r="U15" s="2" t="str">
        <f t="shared" ref="U15:U46" si="20">IF(EXACT(H15,PROPER(H15)),"","Billing Street - casing")</f>
        <v/>
      </c>
      <c r="V15" s="2" t="str">
        <f t="shared" ref="V15:V46" si="21">IF(EXACT(I15,PROPER(I15)),"","City - casing")</f>
        <v/>
      </c>
      <c r="W15" s="2" t="str">
        <f t="shared" ref="W15:W46" si="22">IF(OR(ISNUMBER(SEARCH("St.",I15)),ISNUMBER(SEARCH("St ",I15))),"Check St in city field",IF(RIGHT(I15,1)=".","Dot found in city field",""))</f>
        <v/>
      </c>
      <c r="X15" s="2" t="str" cm="1">
        <f t="array" ref="X15">IF((SUMPRODUCT(--ISNUMBER(SEARCH({"!","@","#","$","%","^","&amp;","~*","(",")","_","+","=","{","}","[","]","|","\",":",";","'","""","&lt;","&gt;",",",".","~?","/","~~","`"}, I15)))&gt;0)=TRUE,"Special Characters Found in City","")</f>
        <v/>
      </c>
      <c r="Y15" s="2" t="str" cm="1">
        <f t="array" ref="Y15">IF((SUMPRODUCT(--ISNUMBER(SEARCH({"!","@","#","$","%","^","~*","(",")","_","+","=","{","}","[","]","|","\",":",";","'","""","&lt;","&gt;","~?","/","~~","`"},F15)))&gt;0)=TRUE,"Special Characters Found in Account field","")</f>
        <v/>
      </c>
      <c r="Z15" s="2" t="str" cm="1">
        <f t="array" ref="Z15">IF(SUM(--ISNUMBER(SEARCH({1,2,3,4,5,6,7,8,9,0},MID(H15,(SEARCH(" E ",H15)-1),1))))+SUM(--ISNUMBER(SEARCH({1,2,3,4,5,6,7,8,9,0},MID(H15,(SEARCH(" E ",H15)+3),1))))=2,"",IF(SUM(--ISNUMBER(SEARCH({"Parte E","Apoquindo N"},H15)))&gt;0,"",IF(OR(RIGHT(H15,3)=" NE",RIGHT(H15,3)=" NW",RIGHT(H15,3)=" SW",RIGHT(H15,3)=" SE",RIGHT(H15,2)=" N",RIGHT(H15,2)=" E",RIGHT(H15,2)=" W",RIGHT(H15,2)=" S",LEFT(H15,3)="NE ",LEFT(H15,3)="NW ",LEFT(H15,3)="SW ",LEFT(H15,3)="SE ",LEFT(H15,2)="N ",LEFT(H15,2)="E ",LEFT(H15,2)="W ",LEFT(H15,2)="S "),"Directional Check",IF(SUM(--ISNUMBER(SEARCH({" N "," E "," W "," S "," NE "," NW "," SW "," SE ","N.E","N.W","S.W","S.E","E.","N.","S.","W."},H15)))&gt;0,"Directional Check",IF(SUM(--ISNUMBER(SEARCH({1,2,3,4,5,6,7,8,9,0},MID(H15,(SEARCH("nd ",H15)-1),1))))+SUM(--ISNUMBER(SEARCH({1,2,3,4,5,6,7,8,9,0},MID(H15,(SEARCH("rd ",H15)-1),1)))+SUM(--ISNUMBER(SEARCH({1,2,3,4,5,6,7,8,9,0},MID(H15,(SEARCH("st ",H15)-1),1))))+SUM(--ISNUMBER(SEARCH({1,2,3,4,5,6,7,8,9,0},MID(H15,(SEARCH("th ",H15)-1),1)))))&gt;0,"","")))))</f>
        <v/>
      </c>
      <c r="AA15" s="2" t="str">
        <f>IF(IF(L15="US",IFERROR(VLOOKUP(J15,'Country Codes'!$B:$B,1,0)=J15,"US State Code Error"),IF(L15="CA",IFERROR(VLOOKUP(J15,'Country Codes'!$E:$E,1,0)=J15,"Canada State Code Error"),IF(L15="BR",IFERROR(VLOOKUP(J15,'Country Codes'!$H:$H,1,0)=J15,"Brazil State Code Error"),IF(L15="AU",IFERROR(VLOOKUP(J15,'Country Codes'!$K:$K,1,0)=J15,"Australia State Code Error"),""))))=TRUE,"",IF(L15="US",IFERROR(VLOOKUP(J15,'Country Codes'!$B:$B,1,0)=J15,"US State Code Error"),IF(L15="CA",IFERROR(VLOOKUP(J15,'Country Codes'!$E:$E,1,0)=J15,"Canada State Code Error"),IF(L15="BR",IFERROR(VLOOKUP(J15,'Country Codes'!$H:$H,1,0)=J15,"Brazil State Code Error"),IF(L15="AU",IFERROR(VLOOKUP(J15,'Country Codes'!$K:$K,1,0)=J15,"Australia State Code Error"),"")))))</f>
        <v/>
      </c>
      <c r="AB15" s="2" t="str">
        <f t="shared" ref="AB15:AB46" si="23">IF(OR(L15="US",L15="CA",L15="BR",L15="AU"),IF((EXACT(UPPER(J15),J15)),"","Country Code Casing"),IF(EXACT(J15,PROPER(J15)),"","Billing State casing"))</f>
        <v/>
      </c>
      <c r="AC15" s="2" t="str" cm="1">
        <f t="array" ref="AC15">IFERROR(_xlfn.IFS(IF(AND(LEN(I15)=0,ISBLANK(I15)=FALSE),"",ISNUMBER(SEARCH(I15,H15))),"City/Postal Code/Country Found in Address",IF(AND(LEN(K15)=0,ISBLANK(K15)=FALSE),"",ISNUMBER(SEARCH(K15,H15))),"City/Postal Code/Country Found in Address",IF(AND(LEN(L15)=0,ISBLANK(L15)=FALSE),"",ISNUMBER(SEARCH(", "&amp;L15,H15))),"City/Postal Code/Country Found in Address",IF(AND(LEN(J15)=0,ISBLANK(J15)=FALSE),"",ISNUMBER(SEARCH(", "&amp;J15,H15))),"City/Postal Code/Country Found in Address",IF(AND(LEN(L15)=0,ISBLANK(L15)=FALSE),"",ISNUMBER(SEARCH(","&amp;L15,H15))),"City/Postal Code/Country Found in Address",IF(AND(LEN(J15)=0,ISBLANK(J15)=FALSE),"",ISNUMBER(SEARCH(","&amp;J15,H15))),"City/Postal Code/Country Found in Address"),"")</f>
        <v/>
      </c>
      <c r="AD15" s="2" t="str">
        <f t="shared" ref="AD15:AD46" si="24">IF(ISNUMBER(SEARCH("PO",N15)),"PO# Entered in Tax ID Field","")</f>
        <v/>
      </c>
      <c r="AE15" s="2" t="str" cm="1">
        <f t="array" ref="AE15">IFERROR(IF(VLOOKUP(LEFT(M15,MIN(SEARCH({1,2,3,4,5,6,7,8,9,0},M15&amp;{1,2,3,4,5,6,7,8,9,0}))-1),'Country Codes'!$N:$N,1,0)&gt;0,"PO Number may be incorrect",""),"")</f>
        <v/>
      </c>
      <c r="AF15" s="2" t="str">
        <f t="shared" ref="AF15:AF46" si="25">IF(N15="","",IF(EXACT(L15,LEFT(N15,2)),IF(EXACT(MID(N15,3,1)," "),"Check the Space inbetween County code &amp; VAT",""),"Check the VAT Country Code Format"))</f>
        <v/>
      </c>
      <c r="AG15" s="2" t="str">
        <f t="shared" ref="AG15:AG46" si="26">IF((ISNUMBER(SEARCH("@",P15)))&gt;0,"",IF(IF(--(ISNUMBER(SEARCH("'",P15)))&gt;0,OR(EXACT(PROPER(P15),P15),EXACT((PROPER(LEFT(P15,FIND("'",P15)-2))&amp;LOWER(MID(P15,FIND("'",P15)-1,1))&amp;PROPER(MID(P15,FIND("'",P15)+0,LEN(P15)-FIND("'",P15)+1))),P15)),"Please check Billing Contact Casing")=TRUE,"","Please check Billing Contact casing"))</f>
        <v/>
      </c>
      <c r="AH15" s="2" t="str">
        <f t="shared" ref="AH15:AH46" si="27">IF(OR(L15="AS",L15="FM",L15="GU",L15="MH",L15="MP",L15="PW",L15="PR",L15="VI",L15="UM"),"US Territories Check","")</f>
        <v/>
      </c>
      <c r="AI15" s="2" t="str" cm="1">
        <f t="array" ref="AI15">IF(G15="","",_xlfn.IFNA(_xlfn.IFS(L15=VLOOKUP(L15,'Country Codes'!$M:$M,1,0)=TRUE,""),"Please check the country code"))</f>
        <v/>
      </c>
      <c r="AJ15" s="2" t="str">
        <f t="shared" si="11"/>
        <v/>
      </c>
      <c r="AK15" s="2"/>
      <c r="AM15" s="43">
        <f t="shared" si="12"/>
        <v>0</v>
      </c>
      <c r="AN15" s="43">
        <f t="shared" si="13"/>
        <v>0</v>
      </c>
      <c r="AO15" s="43">
        <f t="shared" si="14"/>
        <v>0</v>
      </c>
      <c r="AP15" s="43">
        <f t="shared" si="15"/>
        <v>0</v>
      </c>
      <c r="AQ15" s="43">
        <f t="shared" si="16"/>
        <v>0</v>
      </c>
    </row>
    <row r="16" spans="1:49" ht="15.75" x14ac:dyDescent="0.25">
      <c r="A16" s="16" t="s">
        <v>465</v>
      </c>
      <c r="B16" s="11" t="s">
        <v>483</v>
      </c>
      <c r="C16" s="11" t="s">
        <v>11</v>
      </c>
      <c r="D16" s="11" t="s">
        <v>489</v>
      </c>
      <c r="E16" s="11" t="s">
        <v>490</v>
      </c>
      <c r="F16" s="11" t="s">
        <v>540</v>
      </c>
      <c r="G16" s="11" t="s">
        <v>503</v>
      </c>
      <c r="H16" s="11" t="s">
        <v>545</v>
      </c>
      <c r="I16" s="11" t="s">
        <v>458</v>
      </c>
      <c r="J16" s="11" t="s">
        <v>47</v>
      </c>
      <c r="K16" s="11" t="s">
        <v>466</v>
      </c>
      <c r="L16" s="11" t="s">
        <v>33</v>
      </c>
      <c r="M16" s="11" t="s">
        <v>30</v>
      </c>
      <c r="N16" s="11" t="s">
        <v>30</v>
      </c>
      <c r="O16" s="11" t="s">
        <v>516</v>
      </c>
      <c r="P16" s="11" t="s">
        <v>30</v>
      </c>
      <c r="Q16" s="7"/>
      <c r="R16" s="2" t="str">
        <f t="shared" si="17"/>
        <v>Unique Record</v>
      </c>
      <c r="S16" s="2" t="str">
        <f t="shared" si="18"/>
        <v/>
      </c>
      <c r="T16" s="2" t="str">
        <f t="shared" si="19"/>
        <v/>
      </c>
      <c r="U16" s="2" t="str">
        <f t="shared" si="20"/>
        <v/>
      </c>
      <c r="V16" s="2" t="str">
        <f t="shared" si="21"/>
        <v/>
      </c>
      <c r="W16" s="2" t="str">
        <f t="shared" si="22"/>
        <v/>
      </c>
      <c r="X16" s="2" t="str" cm="1">
        <f t="array" ref="X16">IF((SUMPRODUCT(--ISNUMBER(SEARCH({"!","@","#","$","%","^","&amp;","~*","(",")","_","+","=","{","}","[","]","|","\",":",";","'","""","&lt;","&gt;",",",".","~?","/","~~","`"}, I16)))&gt;0)=TRUE,"Special Characters Found in City","")</f>
        <v/>
      </c>
      <c r="Y16" s="2" t="str" cm="1">
        <f t="array" ref="Y16">IF((SUMPRODUCT(--ISNUMBER(SEARCH({"!","@","#","$","%","^","~*","(",")","_","+","=","{","}","[","]","|","\",":",";","'","""","&lt;","&gt;","~?","/","~~","`"},F16)))&gt;0)=TRUE,"Special Characters Found in Account field","")</f>
        <v/>
      </c>
      <c r="Z16" s="2" t="str" cm="1">
        <f t="array" ref="Z16">IF(SUM(--ISNUMBER(SEARCH({1,2,3,4,5,6,7,8,9,0},MID(H16,(SEARCH(" E ",H16)-1),1))))+SUM(--ISNUMBER(SEARCH({1,2,3,4,5,6,7,8,9,0},MID(H16,(SEARCH(" E ",H16)+3),1))))=2,"",IF(SUM(--ISNUMBER(SEARCH({"Parte E","Apoquindo N"},H16)))&gt;0,"",IF(OR(RIGHT(H16,3)=" NE",RIGHT(H16,3)=" NW",RIGHT(H16,3)=" SW",RIGHT(H16,3)=" SE",RIGHT(H16,2)=" N",RIGHT(H16,2)=" E",RIGHT(H16,2)=" W",RIGHT(H16,2)=" S",LEFT(H16,3)="NE ",LEFT(H16,3)="NW ",LEFT(H16,3)="SW ",LEFT(H16,3)="SE ",LEFT(H16,2)="N ",LEFT(H16,2)="E ",LEFT(H16,2)="W ",LEFT(H16,2)="S "),"Directional Check",IF(SUM(--ISNUMBER(SEARCH({" N "," E "," W "," S "," NE "," NW "," SW "," SE ","N.E","N.W","S.W","S.E","E.","N.","S.","W."},H16)))&gt;0,"Directional Check",IF(SUM(--ISNUMBER(SEARCH({1,2,3,4,5,6,7,8,9,0},MID(H16,(SEARCH("nd ",H16)-1),1))))+SUM(--ISNUMBER(SEARCH({1,2,3,4,5,6,7,8,9,0},MID(H16,(SEARCH("rd ",H16)-1),1)))+SUM(--ISNUMBER(SEARCH({1,2,3,4,5,6,7,8,9,0},MID(H16,(SEARCH("st ",H16)-1),1))))+SUM(--ISNUMBER(SEARCH({1,2,3,4,5,6,7,8,9,0},MID(H16,(SEARCH("th ",H16)-1),1)))))&gt;0,"","")))))</f>
        <v/>
      </c>
      <c r="AA16" s="2" t="str">
        <f>IF(IF(L16="US",IFERROR(VLOOKUP(J16,'Country Codes'!$B:$B,1,0)=J16,"US State Code Error"),IF(L16="CA",IFERROR(VLOOKUP(J16,'Country Codes'!$E:$E,1,0)=J16,"Canada State Code Error"),IF(L16="BR",IFERROR(VLOOKUP(J16,'Country Codes'!$H:$H,1,0)=J16,"Brazil State Code Error"),IF(L16="AU",IFERROR(VLOOKUP(J16,'Country Codes'!$K:$K,1,0)=J16,"Australia State Code Error"),""))))=TRUE,"",IF(L16="US",IFERROR(VLOOKUP(J16,'Country Codes'!$B:$B,1,0)=J16,"US State Code Error"),IF(L16="CA",IFERROR(VLOOKUP(J16,'Country Codes'!$E:$E,1,0)=J16,"Canada State Code Error"),IF(L16="BR",IFERROR(VLOOKUP(J16,'Country Codes'!$H:$H,1,0)=J16,"Brazil State Code Error"),IF(L16="AU",IFERROR(VLOOKUP(J16,'Country Codes'!$K:$K,1,0)=J16,"Australia State Code Error"),"")))))</f>
        <v/>
      </c>
      <c r="AB16" s="2" t="str">
        <f t="shared" si="23"/>
        <v/>
      </c>
      <c r="AC16" s="2" t="str" cm="1">
        <f t="array" ref="AC16">IFERROR(_xlfn.IFS(IF(AND(LEN(I16)=0,ISBLANK(I16)=FALSE),"",ISNUMBER(SEARCH(I16,H16))),"City/Postal Code/Country Found in Address",IF(AND(LEN(K16)=0,ISBLANK(K16)=FALSE),"",ISNUMBER(SEARCH(K16,H16))),"City/Postal Code/Country Found in Address",IF(AND(LEN(L16)=0,ISBLANK(L16)=FALSE),"",ISNUMBER(SEARCH(", "&amp;L16,H16))),"City/Postal Code/Country Found in Address",IF(AND(LEN(J16)=0,ISBLANK(J16)=FALSE),"",ISNUMBER(SEARCH(", "&amp;J16,H16))),"City/Postal Code/Country Found in Address",IF(AND(LEN(L16)=0,ISBLANK(L16)=FALSE),"",ISNUMBER(SEARCH(","&amp;L16,H16))),"City/Postal Code/Country Found in Address",IF(AND(LEN(J16)=0,ISBLANK(J16)=FALSE),"",ISNUMBER(SEARCH(","&amp;J16,H16))),"City/Postal Code/Country Found in Address"),"")</f>
        <v/>
      </c>
      <c r="AD16" s="2" t="str">
        <f t="shared" si="24"/>
        <v/>
      </c>
      <c r="AE16" s="2" t="str" cm="1">
        <f t="array" ref="AE16">IFERROR(IF(VLOOKUP(LEFT(M16,MIN(SEARCH({1,2,3,4,5,6,7,8,9,0},M16&amp;{1,2,3,4,5,6,7,8,9,0}))-1),'Country Codes'!$N:$N,1,0)&gt;0,"PO Number may be incorrect",""),"")</f>
        <v/>
      </c>
      <c r="AF16" s="2" t="str">
        <f t="shared" si="25"/>
        <v/>
      </c>
      <c r="AG16" s="2" t="str">
        <f t="shared" si="26"/>
        <v/>
      </c>
      <c r="AH16" s="2" t="str">
        <f t="shared" si="27"/>
        <v/>
      </c>
      <c r="AI16" s="2" t="str" cm="1">
        <f t="array" ref="AI16">IF(G16="","",_xlfn.IFNA(_xlfn.IFS(L16=VLOOKUP(L16,'Country Codes'!$M:$M,1,0)=TRUE,""),"Please check the country code"))</f>
        <v/>
      </c>
      <c r="AJ16" s="2" t="str">
        <f t="shared" si="11"/>
        <v/>
      </c>
      <c r="AK16" s="2"/>
      <c r="AM16" s="43">
        <f t="shared" si="12"/>
        <v>0</v>
      </c>
      <c r="AN16" s="43">
        <f t="shared" si="13"/>
        <v>0</v>
      </c>
      <c r="AO16" s="43">
        <f t="shared" si="14"/>
        <v>0</v>
      </c>
      <c r="AP16" s="43">
        <f t="shared" si="15"/>
        <v>0</v>
      </c>
      <c r="AQ16" s="43">
        <f t="shared" si="16"/>
        <v>0</v>
      </c>
    </row>
    <row r="17" spans="1:43" ht="15.75" x14ac:dyDescent="0.25">
      <c r="A17" s="16" t="s">
        <v>467</v>
      </c>
      <c r="B17" s="11" t="s">
        <v>482</v>
      </c>
      <c r="C17" s="11" t="s">
        <v>11</v>
      </c>
      <c r="D17" s="11" t="s">
        <v>491</v>
      </c>
      <c r="E17" s="11" t="s">
        <v>492</v>
      </c>
      <c r="F17" s="11" t="s">
        <v>497</v>
      </c>
      <c r="G17" s="11" t="s">
        <v>504</v>
      </c>
      <c r="H17" s="11" t="s">
        <v>510</v>
      </c>
      <c r="I17" s="11" t="s">
        <v>468</v>
      </c>
      <c r="J17" s="11" t="s">
        <v>161</v>
      </c>
      <c r="K17" s="11" t="s">
        <v>469</v>
      </c>
      <c r="L17" s="11" t="s">
        <v>57</v>
      </c>
      <c r="M17" s="11">
        <v>5600004</v>
      </c>
      <c r="N17" s="11" t="s">
        <v>30</v>
      </c>
      <c r="O17" s="11" t="s">
        <v>517</v>
      </c>
      <c r="P17" s="11" t="s">
        <v>30</v>
      </c>
      <c r="Q17" s="7"/>
      <c r="R17" s="2" t="str">
        <f t="shared" si="17"/>
        <v>Unique Record</v>
      </c>
      <c r="S17" s="2" t="str">
        <f t="shared" si="18"/>
        <v/>
      </c>
      <c r="T17" s="2" t="str">
        <f t="shared" si="19"/>
        <v/>
      </c>
      <c r="U17" s="2" t="str">
        <f t="shared" si="20"/>
        <v/>
      </c>
      <c r="V17" s="2" t="str">
        <f t="shared" si="21"/>
        <v/>
      </c>
      <c r="W17" s="2" t="str">
        <f t="shared" si="22"/>
        <v/>
      </c>
      <c r="X17" s="2" t="str" cm="1">
        <f t="array" ref="X17">IF((SUMPRODUCT(--ISNUMBER(SEARCH({"!","@","#","$","%","^","&amp;","~*","(",")","_","+","=","{","}","[","]","|","\",":",";","'","""","&lt;","&gt;",",",".","~?","/","~~","`"}, I17)))&gt;0)=TRUE,"Special Characters Found in City","")</f>
        <v/>
      </c>
      <c r="Y17" s="2" t="str" cm="1">
        <f t="array" ref="Y17">IF((SUMPRODUCT(--ISNUMBER(SEARCH({"!","@","#","$","%","^","~*","(",")","_","+","=","{","}","[","]","|","\",":",";","'","""","&lt;","&gt;","~?","/","~~","`"},F17)))&gt;0)=TRUE,"Special Characters Found in Account field","")</f>
        <v/>
      </c>
      <c r="Z17" s="2" t="str" cm="1">
        <f t="array" ref="Z17">IF(SUM(--ISNUMBER(SEARCH({1,2,3,4,5,6,7,8,9,0},MID(H17,(SEARCH(" E ",H17)-1),1))))+SUM(--ISNUMBER(SEARCH({1,2,3,4,5,6,7,8,9,0},MID(H17,(SEARCH(" E ",H17)+3),1))))=2,"",IF(SUM(--ISNUMBER(SEARCH({"Parte E","Apoquindo N"},H17)))&gt;0,"",IF(OR(RIGHT(H17,3)=" NE",RIGHT(H17,3)=" NW",RIGHT(H17,3)=" SW",RIGHT(H17,3)=" SE",RIGHT(H17,2)=" N",RIGHT(H17,2)=" E",RIGHT(H17,2)=" W",RIGHT(H17,2)=" S",LEFT(H17,3)="NE ",LEFT(H17,3)="NW ",LEFT(H17,3)="SW ",LEFT(H17,3)="SE ",LEFT(H17,2)="N ",LEFT(H17,2)="E ",LEFT(H17,2)="W ",LEFT(H17,2)="S "),"Directional Check",IF(SUM(--ISNUMBER(SEARCH({" N "," E "," W "," S "," NE "," NW "," SW "," SE ","N.E","N.W","S.W","S.E","E.","N.","S.","W."},H17)))&gt;0,"Directional Check",IF(SUM(--ISNUMBER(SEARCH({1,2,3,4,5,6,7,8,9,0},MID(H17,(SEARCH("nd ",H17)-1),1))))+SUM(--ISNUMBER(SEARCH({1,2,3,4,5,6,7,8,9,0},MID(H17,(SEARCH("rd ",H17)-1),1)))+SUM(--ISNUMBER(SEARCH({1,2,3,4,5,6,7,8,9,0},MID(H17,(SEARCH("st ",H17)-1),1))))+SUM(--ISNUMBER(SEARCH({1,2,3,4,5,6,7,8,9,0},MID(H17,(SEARCH("th ",H17)-1),1)))))&gt;0,"","")))))</f>
        <v/>
      </c>
      <c r="AA17" s="2" t="str">
        <f>IF(IF(L17="US",IFERROR(VLOOKUP(J17,'Country Codes'!$B:$B,1,0)=J17,"US State Code Error"),IF(L17="CA",IFERROR(VLOOKUP(J17,'Country Codes'!$E:$E,1,0)=J17,"Canada State Code Error"),IF(L17="BR",IFERROR(VLOOKUP(J17,'Country Codes'!$H:$H,1,0)=J17,"Brazil State Code Error"),IF(L17="AU",IFERROR(VLOOKUP(J17,'Country Codes'!$K:$K,1,0)=J17,"Australia State Code Error"),""))))=TRUE,"",IF(L17="US",IFERROR(VLOOKUP(J17,'Country Codes'!$B:$B,1,0)=J17,"US State Code Error"),IF(L17="CA",IFERROR(VLOOKUP(J17,'Country Codes'!$E:$E,1,0)=J17,"Canada State Code Error"),IF(L17="BR",IFERROR(VLOOKUP(J17,'Country Codes'!$H:$H,1,0)=J17,"Brazil State Code Error"),IF(L17="AU",IFERROR(VLOOKUP(J17,'Country Codes'!$K:$K,1,0)=J17,"Australia State Code Error"),"")))))</f>
        <v/>
      </c>
      <c r="AB17" s="2" t="str">
        <f t="shared" si="23"/>
        <v/>
      </c>
      <c r="AC17" s="2" t="str" cm="1">
        <f t="array" ref="AC17">IFERROR(_xlfn.IFS(IF(AND(LEN(I17)=0,ISBLANK(I17)=FALSE),"",ISNUMBER(SEARCH(I17,H17))),"City/Postal Code/Country Found in Address",IF(AND(LEN(K17)=0,ISBLANK(K17)=FALSE),"",ISNUMBER(SEARCH(K17,H17))),"City/Postal Code/Country Found in Address",IF(AND(LEN(L17)=0,ISBLANK(L17)=FALSE),"",ISNUMBER(SEARCH(", "&amp;L17,H17))),"City/Postal Code/Country Found in Address",IF(AND(LEN(J17)=0,ISBLANK(J17)=FALSE),"",ISNUMBER(SEARCH(", "&amp;J17,H17))),"City/Postal Code/Country Found in Address",IF(AND(LEN(L17)=0,ISBLANK(L17)=FALSE),"",ISNUMBER(SEARCH(","&amp;L17,H17))),"City/Postal Code/Country Found in Address",IF(AND(LEN(J17)=0,ISBLANK(J17)=FALSE),"",ISNUMBER(SEARCH(","&amp;J17,H17))),"City/Postal Code/Country Found in Address"),"")</f>
        <v/>
      </c>
      <c r="AD17" s="2" t="str">
        <f t="shared" si="24"/>
        <v/>
      </c>
      <c r="AE17" s="2" t="str" cm="1">
        <f t="array" ref="AE17">IFERROR(IF(VLOOKUP(LEFT(M17,MIN(SEARCH({1,2,3,4,5,6,7,8,9,0},M17&amp;{1,2,3,4,5,6,7,8,9,0}))-1),'Country Codes'!$N:$N,1,0)&gt;0,"PO Number may be incorrect",""),"")</f>
        <v/>
      </c>
      <c r="AF17" s="2" t="str">
        <f t="shared" si="25"/>
        <v/>
      </c>
      <c r="AG17" s="2" t="str">
        <f t="shared" si="26"/>
        <v/>
      </c>
      <c r="AH17" s="2" t="str">
        <f t="shared" si="27"/>
        <v/>
      </c>
      <c r="AI17" s="2" t="str" cm="1">
        <f t="array" ref="AI17">IF(G17="","",_xlfn.IFNA(_xlfn.IFS(L17=VLOOKUP(L17,'Country Codes'!$M:$M,1,0)=TRUE,""),"Please check the country code"))</f>
        <v/>
      </c>
      <c r="AJ17" s="2" t="str">
        <f t="shared" si="11"/>
        <v/>
      </c>
      <c r="AK17" s="2"/>
      <c r="AM17" s="43">
        <f t="shared" si="12"/>
        <v>0</v>
      </c>
      <c r="AN17" s="43">
        <f t="shared" si="13"/>
        <v>0</v>
      </c>
      <c r="AO17" s="43">
        <f t="shared" si="14"/>
        <v>0</v>
      </c>
      <c r="AP17" s="43">
        <f t="shared" si="15"/>
        <v>0</v>
      </c>
      <c r="AQ17" s="43">
        <f t="shared" si="16"/>
        <v>0</v>
      </c>
    </row>
    <row r="18" spans="1:43" ht="15.75" x14ac:dyDescent="0.25">
      <c r="A18" s="16" t="s">
        <v>470</v>
      </c>
      <c r="B18" s="11" t="s">
        <v>484</v>
      </c>
      <c r="C18" s="11" t="s">
        <v>9</v>
      </c>
      <c r="D18" s="11">
        <v>3587</v>
      </c>
      <c r="E18" s="11">
        <v>4490</v>
      </c>
      <c r="F18" s="11" t="s">
        <v>497</v>
      </c>
      <c r="G18" s="11" t="s">
        <v>504</v>
      </c>
      <c r="H18" s="11" t="s">
        <v>510</v>
      </c>
      <c r="I18" s="11" t="s">
        <v>468</v>
      </c>
      <c r="J18" s="11" t="s">
        <v>161</v>
      </c>
      <c r="K18" s="11" t="s">
        <v>469</v>
      </c>
      <c r="L18" s="11" t="s">
        <v>57</v>
      </c>
      <c r="M18" s="11">
        <v>5600004</v>
      </c>
      <c r="N18" s="11" t="s">
        <v>30</v>
      </c>
      <c r="O18" s="11" t="s">
        <v>517</v>
      </c>
      <c r="P18" s="11" t="s">
        <v>30</v>
      </c>
      <c r="Q18" s="7"/>
      <c r="R18" s="2" t="str">
        <f t="shared" si="17"/>
        <v/>
      </c>
      <c r="S18" s="2" t="str">
        <f t="shared" si="18"/>
        <v/>
      </c>
      <c r="T18" s="2" t="str">
        <f t="shared" si="19"/>
        <v/>
      </c>
      <c r="U18" s="2" t="str">
        <f t="shared" si="20"/>
        <v/>
      </c>
      <c r="V18" s="2" t="str">
        <f t="shared" si="21"/>
        <v/>
      </c>
      <c r="W18" s="2" t="str">
        <f t="shared" si="22"/>
        <v/>
      </c>
      <c r="X18" s="2" t="str" cm="1">
        <f t="array" ref="X18">IF((SUMPRODUCT(--ISNUMBER(SEARCH({"!","@","#","$","%","^","&amp;","~*","(",")","_","+","=","{","}","[","]","|","\",":",";","'","""","&lt;","&gt;",",",".","~?","/","~~","`"}, I18)))&gt;0)=TRUE,"Special Characters Found in City","")</f>
        <v/>
      </c>
      <c r="Y18" s="2" t="str" cm="1">
        <f t="array" ref="Y18">IF((SUMPRODUCT(--ISNUMBER(SEARCH({"!","@","#","$","%","^","~*","(",")","_","+","=","{","}","[","]","|","\",":",";","'","""","&lt;","&gt;","~?","/","~~","`"},F18)))&gt;0)=TRUE,"Special Characters Found in Account field","")</f>
        <v/>
      </c>
      <c r="Z18" s="2" t="str" cm="1">
        <f t="array" ref="Z18">IF(SUM(--ISNUMBER(SEARCH({1,2,3,4,5,6,7,8,9,0},MID(H18,(SEARCH(" E ",H18)-1),1))))+SUM(--ISNUMBER(SEARCH({1,2,3,4,5,6,7,8,9,0},MID(H18,(SEARCH(" E ",H18)+3),1))))=2,"",IF(SUM(--ISNUMBER(SEARCH({"Parte E","Apoquindo N"},H18)))&gt;0,"",IF(OR(RIGHT(H18,3)=" NE",RIGHT(H18,3)=" NW",RIGHT(H18,3)=" SW",RIGHT(H18,3)=" SE",RIGHT(H18,2)=" N",RIGHT(H18,2)=" E",RIGHT(H18,2)=" W",RIGHT(H18,2)=" S",LEFT(H18,3)="NE ",LEFT(H18,3)="NW ",LEFT(H18,3)="SW ",LEFT(H18,3)="SE ",LEFT(H18,2)="N ",LEFT(H18,2)="E ",LEFT(H18,2)="W ",LEFT(H18,2)="S "),"Directional Check",IF(SUM(--ISNUMBER(SEARCH({" N "," E "," W "," S "," NE "," NW "," SW "," SE ","N.E","N.W","S.W","S.E","E.","N.","S.","W."},H18)))&gt;0,"Directional Check",IF(SUM(--ISNUMBER(SEARCH({1,2,3,4,5,6,7,8,9,0},MID(H18,(SEARCH("nd ",H18)-1),1))))+SUM(--ISNUMBER(SEARCH({1,2,3,4,5,6,7,8,9,0},MID(H18,(SEARCH("rd ",H18)-1),1)))+SUM(--ISNUMBER(SEARCH({1,2,3,4,5,6,7,8,9,0},MID(H18,(SEARCH("st ",H18)-1),1))))+SUM(--ISNUMBER(SEARCH({1,2,3,4,5,6,7,8,9,0},MID(H18,(SEARCH("th ",H18)-1),1)))))&gt;0,"","")))))</f>
        <v/>
      </c>
      <c r="AA18" s="2" t="str">
        <f>IF(IF(L18="US",IFERROR(VLOOKUP(J18,'Country Codes'!$B:$B,1,0)=J18,"US State Code Error"),IF(L18="CA",IFERROR(VLOOKUP(J18,'Country Codes'!$E:$E,1,0)=J18,"Canada State Code Error"),IF(L18="BR",IFERROR(VLOOKUP(J18,'Country Codes'!$H:$H,1,0)=J18,"Brazil State Code Error"),IF(L18="AU",IFERROR(VLOOKUP(J18,'Country Codes'!$K:$K,1,0)=J18,"Australia State Code Error"),""))))=TRUE,"",IF(L18="US",IFERROR(VLOOKUP(J18,'Country Codes'!$B:$B,1,0)=J18,"US State Code Error"),IF(L18="CA",IFERROR(VLOOKUP(J18,'Country Codes'!$E:$E,1,0)=J18,"Canada State Code Error"),IF(L18="BR",IFERROR(VLOOKUP(J18,'Country Codes'!$H:$H,1,0)=J18,"Brazil State Code Error"),IF(L18="AU",IFERROR(VLOOKUP(J18,'Country Codes'!$K:$K,1,0)=J18,"Australia State Code Error"),"")))))</f>
        <v/>
      </c>
      <c r="AB18" s="2" t="str">
        <f t="shared" si="23"/>
        <v/>
      </c>
      <c r="AC18" s="2" t="str" cm="1">
        <f t="array" ref="AC18">IFERROR(_xlfn.IFS(IF(AND(LEN(I18)=0,ISBLANK(I18)=FALSE),"",ISNUMBER(SEARCH(I18,H18))),"City/Postal Code/Country Found in Address",IF(AND(LEN(K18)=0,ISBLANK(K18)=FALSE),"",ISNUMBER(SEARCH(K18,H18))),"City/Postal Code/Country Found in Address",IF(AND(LEN(L18)=0,ISBLANK(L18)=FALSE),"",ISNUMBER(SEARCH(", "&amp;L18,H18))),"City/Postal Code/Country Found in Address",IF(AND(LEN(J18)=0,ISBLANK(J18)=FALSE),"",ISNUMBER(SEARCH(", "&amp;J18,H18))),"City/Postal Code/Country Found in Address",IF(AND(LEN(L18)=0,ISBLANK(L18)=FALSE),"",ISNUMBER(SEARCH(","&amp;L18,H18))),"City/Postal Code/Country Found in Address",IF(AND(LEN(J18)=0,ISBLANK(J18)=FALSE),"",ISNUMBER(SEARCH(","&amp;J18,H18))),"City/Postal Code/Country Found in Address"),"")</f>
        <v/>
      </c>
      <c r="AD18" s="2" t="str">
        <f t="shared" si="24"/>
        <v/>
      </c>
      <c r="AE18" s="2" t="str" cm="1">
        <f t="array" ref="AE18">IFERROR(IF(VLOOKUP(LEFT(M18,MIN(SEARCH({1,2,3,4,5,6,7,8,9,0},M18&amp;{1,2,3,4,5,6,7,8,9,0}))-1),'Country Codes'!$N:$N,1,0)&gt;0,"PO Number may be incorrect",""),"")</f>
        <v/>
      </c>
      <c r="AF18" s="2" t="str">
        <f t="shared" si="25"/>
        <v/>
      </c>
      <c r="AG18" s="2" t="str">
        <f t="shared" si="26"/>
        <v/>
      </c>
      <c r="AH18" s="2" t="str">
        <f t="shared" si="27"/>
        <v/>
      </c>
      <c r="AI18" s="2" t="str" cm="1">
        <f t="array" ref="AI18">IF(G18="","",_xlfn.IFNA(_xlfn.IFS(L18=VLOOKUP(L18,'Country Codes'!$M:$M,1,0)=TRUE,""),"Please check the country code"))</f>
        <v/>
      </c>
      <c r="AJ18" s="2" t="str">
        <f t="shared" si="11"/>
        <v/>
      </c>
      <c r="AK18" s="2"/>
      <c r="AM18" s="43">
        <f t="shared" si="12"/>
        <v>0</v>
      </c>
      <c r="AN18" s="43">
        <f t="shared" si="13"/>
        <v>0</v>
      </c>
      <c r="AO18" s="43">
        <f t="shared" si="14"/>
        <v>0</v>
      </c>
      <c r="AP18" s="43">
        <f t="shared" si="15"/>
        <v>0</v>
      </c>
      <c r="AQ18" s="43">
        <f t="shared" si="16"/>
        <v>0</v>
      </c>
    </row>
    <row r="19" spans="1:43" ht="15.75" x14ac:dyDescent="0.25">
      <c r="A19" s="16" t="s">
        <v>471</v>
      </c>
      <c r="B19" s="11" t="s">
        <v>482</v>
      </c>
      <c r="C19" s="11" t="s">
        <v>11</v>
      </c>
      <c r="D19" s="11" t="s">
        <v>493</v>
      </c>
      <c r="E19" s="11" t="s">
        <v>494</v>
      </c>
      <c r="F19" s="11" t="s">
        <v>501</v>
      </c>
      <c r="G19" s="11" t="s">
        <v>505</v>
      </c>
      <c r="H19" s="11" t="s">
        <v>511</v>
      </c>
      <c r="I19" s="11" t="s">
        <v>457</v>
      </c>
      <c r="J19" s="11" t="s">
        <v>107</v>
      </c>
      <c r="K19" s="11" t="s">
        <v>472</v>
      </c>
      <c r="L19" s="11" t="s">
        <v>33</v>
      </c>
      <c r="M19" s="11" t="s">
        <v>30</v>
      </c>
      <c r="N19" s="11" t="s">
        <v>30</v>
      </c>
      <c r="O19" s="11" t="s">
        <v>518</v>
      </c>
      <c r="P19" s="11" t="s">
        <v>30</v>
      </c>
      <c r="Q19" s="7"/>
      <c r="R19" s="2" t="str">
        <f t="shared" si="17"/>
        <v>Unique Record</v>
      </c>
      <c r="S19" s="2" t="str">
        <f t="shared" si="18"/>
        <v/>
      </c>
      <c r="T19" s="2" t="str">
        <f t="shared" si="19"/>
        <v>Account Lower Case</v>
      </c>
      <c r="U19" s="2" t="str">
        <f t="shared" si="20"/>
        <v/>
      </c>
      <c r="V19" s="2" t="str">
        <f t="shared" si="21"/>
        <v/>
      </c>
      <c r="W19" s="2" t="str">
        <f t="shared" si="22"/>
        <v/>
      </c>
      <c r="X19" s="2" t="str" cm="1">
        <f t="array" ref="X19">IF((SUMPRODUCT(--ISNUMBER(SEARCH({"!","@","#","$","%","^","&amp;","~*","(",")","_","+","=","{","}","[","]","|","\",":",";","'","""","&lt;","&gt;",",",".","~?","/","~~","`"}, I19)))&gt;0)=TRUE,"Special Characters Found in City","")</f>
        <v/>
      </c>
      <c r="Y19" s="2" t="str" cm="1">
        <f t="array" ref="Y19">IF((SUMPRODUCT(--ISNUMBER(SEARCH({"!","@","#","$","%","^","~*","(",")","_","+","=","{","}","[","]","|","\",":",";","'","""","&lt;","&gt;","~?","/","~~","`"},F19)))&gt;0)=TRUE,"Special Characters Found in Account field","")</f>
        <v/>
      </c>
      <c r="Z19" s="2" t="str" cm="1">
        <f t="array" ref="Z19">IF(SUM(--ISNUMBER(SEARCH({1,2,3,4,5,6,7,8,9,0},MID(H19,(SEARCH(" E ",H19)-1),1))))+SUM(--ISNUMBER(SEARCH({1,2,3,4,5,6,7,8,9,0},MID(H19,(SEARCH(" E ",H19)+3),1))))=2,"",IF(SUM(--ISNUMBER(SEARCH({"Parte E","Apoquindo N"},H19)))&gt;0,"",IF(OR(RIGHT(H19,3)=" NE",RIGHT(H19,3)=" NW",RIGHT(H19,3)=" SW",RIGHT(H19,3)=" SE",RIGHT(H19,2)=" N",RIGHT(H19,2)=" E",RIGHT(H19,2)=" W",RIGHT(H19,2)=" S",LEFT(H19,3)="NE ",LEFT(H19,3)="NW ",LEFT(H19,3)="SW ",LEFT(H19,3)="SE ",LEFT(H19,2)="N ",LEFT(H19,2)="E ",LEFT(H19,2)="W ",LEFT(H19,2)="S "),"Directional Check",IF(SUM(--ISNUMBER(SEARCH({" N "," E "," W "," S "," NE "," NW "," SW "," SE ","N.E","N.W","S.W","S.E","E.","N.","S.","W."},H19)))&gt;0,"Directional Check",IF(SUM(--ISNUMBER(SEARCH({1,2,3,4,5,6,7,8,9,0},MID(H19,(SEARCH("nd ",H19)-1),1))))+SUM(--ISNUMBER(SEARCH({1,2,3,4,5,6,7,8,9,0},MID(H19,(SEARCH("rd ",H19)-1),1)))+SUM(--ISNUMBER(SEARCH({1,2,3,4,5,6,7,8,9,0},MID(H19,(SEARCH("st ",H19)-1),1))))+SUM(--ISNUMBER(SEARCH({1,2,3,4,5,6,7,8,9,0},MID(H19,(SEARCH("th ",H19)-1),1)))))&gt;0,"","")))))</f>
        <v/>
      </c>
      <c r="AA19" s="2" t="str">
        <f>IF(IF(L19="US",IFERROR(VLOOKUP(J19,'Country Codes'!$B:$B,1,0)=J19,"US State Code Error"),IF(L19="CA",IFERROR(VLOOKUP(J19,'Country Codes'!$E:$E,1,0)=J19,"Canada State Code Error"),IF(L19="BR",IFERROR(VLOOKUP(J19,'Country Codes'!$H:$H,1,0)=J19,"Brazil State Code Error"),IF(L19="AU",IFERROR(VLOOKUP(J19,'Country Codes'!$K:$K,1,0)=J19,"Australia State Code Error"),""))))=TRUE,"",IF(L19="US",IFERROR(VLOOKUP(J19,'Country Codes'!$B:$B,1,0)=J19,"US State Code Error"),IF(L19="CA",IFERROR(VLOOKUP(J19,'Country Codes'!$E:$E,1,0)=J19,"Canada State Code Error"),IF(L19="BR",IFERROR(VLOOKUP(J19,'Country Codes'!$H:$H,1,0)=J19,"Brazil State Code Error"),IF(L19="AU",IFERROR(VLOOKUP(J19,'Country Codes'!$K:$K,1,0)=J19,"Australia State Code Error"),"")))))</f>
        <v/>
      </c>
      <c r="AB19" s="2" t="str">
        <f t="shared" si="23"/>
        <v/>
      </c>
      <c r="AC19" s="2" t="str" cm="1">
        <f t="array" ref="AC19">IFERROR(_xlfn.IFS(IF(AND(LEN(I19)=0,ISBLANK(I19)=FALSE),"",ISNUMBER(SEARCH(I19,H19))),"City/Postal Code/Country Found in Address",IF(AND(LEN(K19)=0,ISBLANK(K19)=FALSE),"",ISNUMBER(SEARCH(K19,H19))),"City/Postal Code/Country Found in Address",IF(AND(LEN(L19)=0,ISBLANK(L19)=FALSE),"",ISNUMBER(SEARCH(", "&amp;L19,H19))),"City/Postal Code/Country Found in Address",IF(AND(LEN(J19)=0,ISBLANK(J19)=FALSE),"",ISNUMBER(SEARCH(", "&amp;J19,H19))),"City/Postal Code/Country Found in Address",IF(AND(LEN(L19)=0,ISBLANK(L19)=FALSE),"",ISNUMBER(SEARCH(","&amp;L19,H19))),"City/Postal Code/Country Found in Address",IF(AND(LEN(J19)=0,ISBLANK(J19)=FALSE),"",ISNUMBER(SEARCH(","&amp;J19,H19))),"City/Postal Code/Country Found in Address"),"")</f>
        <v/>
      </c>
      <c r="AD19" s="2" t="str">
        <f t="shared" si="24"/>
        <v/>
      </c>
      <c r="AE19" s="2" t="str" cm="1">
        <f t="array" ref="AE19">IFERROR(IF(VLOOKUP(LEFT(M19,MIN(SEARCH({1,2,3,4,5,6,7,8,9,0},M19&amp;{1,2,3,4,5,6,7,8,9,0}))-1),'Country Codes'!$N:$N,1,0)&gt;0,"PO Number may be incorrect",""),"")</f>
        <v/>
      </c>
      <c r="AF19" s="2" t="str">
        <f t="shared" si="25"/>
        <v/>
      </c>
      <c r="AG19" s="2" t="str">
        <f t="shared" si="26"/>
        <v/>
      </c>
      <c r="AH19" s="2" t="str">
        <f t="shared" si="27"/>
        <v/>
      </c>
      <c r="AI19" s="2" t="str" cm="1">
        <f t="array" ref="AI19">IF(G19="","",_xlfn.IFNA(_xlfn.IFS(L19=VLOOKUP(L19,'Country Codes'!$M:$M,1,0)=TRUE,""),"Please check the country code"))</f>
        <v/>
      </c>
      <c r="AJ19" s="2" t="str">
        <f t="shared" si="11"/>
        <v xml:space="preserve">Account Lower Case; </v>
      </c>
      <c r="AK19" s="2"/>
      <c r="AM19" s="43">
        <f t="shared" si="12"/>
        <v>1</v>
      </c>
      <c r="AN19" s="43">
        <f t="shared" si="13"/>
        <v>0</v>
      </c>
      <c r="AO19" s="43">
        <f t="shared" si="14"/>
        <v>0</v>
      </c>
      <c r="AP19" s="43">
        <f t="shared" si="15"/>
        <v>0</v>
      </c>
      <c r="AQ19" s="43">
        <f t="shared" si="16"/>
        <v>1</v>
      </c>
    </row>
    <row r="20" spans="1:43" ht="15.75" x14ac:dyDescent="0.25">
      <c r="A20" s="16" t="s">
        <v>455</v>
      </c>
      <c r="B20" s="11" t="s">
        <v>482</v>
      </c>
      <c r="C20" s="11" t="s">
        <v>11</v>
      </c>
      <c r="D20" s="11" t="s">
        <v>494</v>
      </c>
      <c r="E20" s="11"/>
      <c r="F20" s="11" t="s">
        <v>498</v>
      </c>
      <c r="G20" s="11" t="s">
        <v>506</v>
      </c>
      <c r="H20" s="11" t="s">
        <v>541</v>
      </c>
      <c r="I20" s="11" t="s">
        <v>453</v>
      </c>
      <c r="J20" s="11" t="s">
        <v>30</v>
      </c>
      <c r="K20" s="11" t="s">
        <v>456</v>
      </c>
      <c r="L20" s="11" t="s">
        <v>46</v>
      </c>
      <c r="M20" s="11" t="s">
        <v>515</v>
      </c>
      <c r="N20" s="11"/>
      <c r="O20" s="11" t="s">
        <v>30</v>
      </c>
      <c r="P20" s="11" t="s">
        <v>517</v>
      </c>
      <c r="Q20" s="7"/>
      <c r="R20" s="2" t="str">
        <f t="shared" si="17"/>
        <v>Unique Record</v>
      </c>
      <c r="S20" s="2" t="str">
        <f t="shared" si="18"/>
        <v/>
      </c>
      <c r="T20" s="2" t="str">
        <f t="shared" si="19"/>
        <v/>
      </c>
      <c r="U20" s="2" t="str">
        <f t="shared" si="20"/>
        <v/>
      </c>
      <c r="V20" s="2" t="str">
        <f t="shared" si="21"/>
        <v/>
      </c>
      <c r="W20" s="2" t="str">
        <f t="shared" si="22"/>
        <v/>
      </c>
      <c r="X20" s="2" t="str" cm="1">
        <f t="array" ref="X20">IF((SUMPRODUCT(--ISNUMBER(SEARCH({"!","@","#","$","%","^","&amp;","~*","(",")","_","+","=","{","}","[","]","|","\",":",";","'","""","&lt;","&gt;",",",".","~?","/","~~","`"}, I20)))&gt;0)=TRUE,"Special Characters Found in City","")</f>
        <v/>
      </c>
      <c r="Y20" s="2" t="str" cm="1">
        <f t="array" ref="Y20">IF((SUMPRODUCT(--ISNUMBER(SEARCH({"!","@","#","$","%","^","~*","(",")","_","+","=","{","}","[","]","|","\",":",";","'","""","&lt;","&gt;","~?","/","~~","`"},F20)))&gt;0)=TRUE,"Special Characters Found in Account field","")</f>
        <v/>
      </c>
      <c r="Z20" s="2" t="str" cm="1">
        <f t="array" ref="Z20">IF(SUM(--ISNUMBER(SEARCH({1,2,3,4,5,6,7,8,9,0},MID(H20,(SEARCH(" E ",H20)-1),1))))+SUM(--ISNUMBER(SEARCH({1,2,3,4,5,6,7,8,9,0},MID(H20,(SEARCH(" E ",H20)+3),1))))=2,"",IF(SUM(--ISNUMBER(SEARCH({"Parte E","Apoquindo N"},H20)))&gt;0,"",IF(OR(RIGHT(H20,3)=" NE",RIGHT(H20,3)=" NW",RIGHT(H20,3)=" SW",RIGHT(H20,3)=" SE",RIGHT(H20,2)=" N",RIGHT(H20,2)=" E",RIGHT(H20,2)=" W",RIGHT(H20,2)=" S",LEFT(H20,3)="NE ",LEFT(H20,3)="NW ",LEFT(H20,3)="SW ",LEFT(H20,3)="SE ",LEFT(H20,2)="N ",LEFT(H20,2)="E ",LEFT(H20,2)="W ",LEFT(H20,2)="S "),"Directional Check",IF(SUM(--ISNUMBER(SEARCH({" N "," E "," W "," S "," NE "," NW "," SW "," SE ","N.E","N.W","S.W","S.E","E.","N.","S.","W."},H20)))&gt;0,"Directional Check",IF(SUM(--ISNUMBER(SEARCH({1,2,3,4,5,6,7,8,9,0},MID(H20,(SEARCH("nd ",H20)-1),1))))+SUM(--ISNUMBER(SEARCH({1,2,3,4,5,6,7,8,9,0},MID(H20,(SEARCH("rd ",H20)-1),1)))+SUM(--ISNUMBER(SEARCH({1,2,3,4,5,6,7,8,9,0},MID(H20,(SEARCH("st ",H20)-1),1))))+SUM(--ISNUMBER(SEARCH({1,2,3,4,5,6,7,8,9,0},MID(H20,(SEARCH("th ",H20)-1),1)))))&gt;0,"","")))))</f>
        <v/>
      </c>
      <c r="AA20" s="2" t="str">
        <f>IF(IF(L20="US",IFERROR(VLOOKUP(J20,'Country Codes'!$B:$B,1,0)=J20,"US State Code Error"),IF(L20="CA",IFERROR(VLOOKUP(J20,'Country Codes'!$E:$E,1,0)=J20,"Canada State Code Error"),IF(L20="BR",IFERROR(VLOOKUP(J20,'Country Codes'!$H:$H,1,0)=J20,"Brazil State Code Error"),IF(L20="AU",IFERROR(VLOOKUP(J20,'Country Codes'!$K:$K,1,0)=J20,"Australia State Code Error"),""))))=TRUE,"",IF(L20="US",IFERROR(VLOOKUP(J20,'Country Codes'!$B:$B,1,0)=J20,"US State Code Error"),IF(L20="CA",IFERROR(VLOOKUP(J20,'Country Codes'!$E:$E,1,0)=J20,"Canada State Code Error"),IF(L20="BR",IFERROR(VLOOKUP(J20,'Country Codes'!$H:$H,1,0)=J20,"Brazil State Code Error"),IF(L20="AU",IFERROR(VLOOKUP(J20,'Country Codes'!$K:$K,1,0)=J20,"Australia State Code Error"),"")))))</f>
        <v/>
      </c>
      <c r="AB20" s="2" t="str">
        <f t="shared" si="23"/>
        <v/>
      </c>
      <c r="AC20" s="2" t="str" cm="1">
        <f t="array" ref="AC20">IFERROR(_xlfn.IFS(IF(AND(LEN(I20)=0,ISBLANK(I20)=FALSE),"",ISNUMBER(SEARCH(I20,H20))),"City/Postal Code/Country Found in Address",IF(AND(LEN(K20)=0,ISBLANK(K20)=FALSE),"",ISNUMBER(SEARCH(K20,H20))),"City/Postal Code/Country Found in Address",IF(AND(LEN(L20)=0,ISBLANK(L20)=FALSE),"",ISNUMBER(SEARCH(", "&amp;L20,H20))),"City/Postal Code/Country Found in Address",IF(AND(LEN(J20)=0,ISBLANK(J20)=FALSE),"",ISNUMBER(SEARCH(", "&amp;J20,H20))),"City/Postal Code/Country Found in Address",IF(AND(LEN(L20)=0,ISBLANK(L20)=FALSE),"",ISNUMBER(SEARCH(","&amp;L20,H20))),"City/Postal Code/Country Found in Address",IF(AND(LEN(J20)=0,ISBLANK(J20)=FALSE),"",ISNUMBER(SEARCH(","&amp;J20,H20))),"City/Postal Code/Country Found in Address"),"")</f>
        <v/>
      </c>
      <c r="AD20" s="2" t="str">
        <f t="shared" si="24"/>
        <v/>
      </c>
      <c r="AE20" s="2" t="str" cm="1">
        <f t="array" ref="AE20">IFERROR(IF(VLOOKUP(LEFT(M20,MIN(SEARCH({1,2,3,4,5,6,7,8,9,0},M20&amp;{1,2,3,4,5,6,7,8,9,0}))-1),'Country Codes'!$N:$N,1,0)&gt;0,"PO Number may be incorrect",""),"")</f>
        <v/>
      </c>
      <c r="AF20" s="2" t="str">
        <f t="shared" si="25"/>
        <v/>
      </c>
      <c r="AG20" s="2" t="str">
        <f t="shared" si="26"/>
        <v/>
      </c>
      <c r="AH20" s="2" t="str">
        <f t="shared" si="27"/>
        <v/>
      </c>
      <c r="AI20" s="2" t="str" cm="1">
        <f t="array" ref="AI20">IF(G20="","",_xlfn.IFNA(_xlfn.IFS(L20=VLOOKUP(L20,'Country Codes'!$M:$M,1,0)=TRUE,""),"Please check the country code"))</f>
        <v/>
      </c>
      <c r="AJ20" s="2" t="str">
        <f t="shared" si="11"/>
        <v/>
      </c>
      <c r="AK20" s="2"/>
      <c r="AM20" s="43">
        <f t="shared" si="12"/>
        <v>0</v>
      </c>
      <c r="AN20" s="43">
        <f t="shared" si="13"/>
        <v>0</v>
      </c>
      <c r="AO20" s="43">
        <f t="shared" si="14"/>
        <v>0</v>
      </c>
      <c r="AP20" s="43">
        <f t="shared" si="15"/>
        <v>0</v>
      </c>
      <c r="AQ20" s="43">
        <f t="shared" si="16"/>
        <v>0</v>
      </c>
    </row>
    <row r="21" spans="1:43" ht="15.75" x14ac:dyDescent="0.25">
      <c r="A21" s="16" t="s">
        <v>455</v>
      </c>
      <c r="B21" s="11" t="s">
        <v>482</v>
      </c>
      <c r="C21" s="11" t="s">
        <v>12</v>
      </c>
      <c r="D21" s="11" t="s">
        <v>30</v>
      </c>
      <c r="E21" s="11" t="s">
        <v>495</v>
      </c>
      <c r="F21" s="11" t="s">
        <v>498</v>
      </c>
      <c r="G21" s="11" t="s">
        <v>506</v>
      </c>
      <c r="H21" s="11" t="s">
        <v>541</v>
      </c>
      <c r="I21" s="11" t="s">
        <v>453</v>
      </c>
      <c r="J21" s="11" t="s">
        <v>30</v>
      </c>
      <c r="K21" s="11" t="s">
        <v>456</v>
      </c>
      <c r="L21" s="11" t="s">
        <v>46</v>
      </c>
      <c r="M21" s="11" t="s">
        <v>515</v>
      </c>
      <c r="N21" s="11"/>
      <c r="O21" s="11" t="s">
        <v>30</v>
      </c>
      <c r="P21" s="11" t="s">
        <v>517</v>
      </c>
      <c r="Q21" s="7"/>
      <c r="R21" s="2" t="str">
        <f t="shared" si="17"/>
        <v/>
      </c>
      <c r="S21" s="2" t="str">
        <f t="shared" si="18"/>
        <v/>
      </c>
      <c r="T21" s="2" t="str">
        <f t="shared" si="19"/>
        <v/>
      </c>
      <c r="U21" s="2" t="str">
        <f t="shared" si="20"/>
        <v/>
      </c>
      <c r="V21" s="2" t="str">
        <f t="shared" si="21"/>
        <v/>
      </c>
      <c r="W21" s="2" t="str">
        <f t="shared" si="22"/>
        <v/>
      </c>
      <c r="X21" s="2" t="str" cm="1">
        <f t="array" ref="X21">IF((SUMPRODUCT(--ISNUMBER(SEARCH({"!","@","#","$","%","^","&amp;","~*","(",")","_","+","=","{","}","[","]","|","\",":",";","'","""","&lt;","&gt;",",",".","~?","/","~~","`"}, I21)))&gt;0)=TRUE,"Special Characters Found in City","")</f>
        <v/>
      </c>
      <c r="Y21" s="2" t="str" cm="1">
        <f t="array" ref="Y21">IF((SUMPRODUCT(--ISNUMBER(SEARCH({"!","@","#","$","%","^","~*","(",")","_","+","=","{","}","[","]","|","\",":",";","'","""","&lt;","&gt;","~?","/","~~","`"},F21)))&gt;0)=TRUE,"Special Characters Found in Account field","")</f>
        <v/>
      </c>
      <c r="Z21" s="2" t="str" cm="1">
        <f t="array" ref="Z21">IF(SUM(--ISNUMBER(SEARCH({1,2,3,4,5,6,7,8,9,0},MID(H21,(SEARCH(" E ",H21)-1),1))))+SUM(--ISNUMBER(SEARCH({1,2,3,4,5,6,7,8,9,0},MID(H21,(SEARCH(" E ",H21)+3),1))))=2,"",IF(SUM(--ISNUMBER(SEARCH({"Parte E","Apoquindo N"},H21)))&gt;0,"",IF(OR(RIGHT(H21,3)=" NE",RIGHT(H21,3)=" NW",RIGHT(H21,3)=" SW",RIGHT(H21,3)=" SE",RIGHT(H21,2)=" N",RIGHT(H21,2)=" E",RIGHT(H21,2)=" W",RIGHT(H21,2)=" S",LEFT(H21,3)="NE ",LEFT(H21,3)="NW ",LEFT(H21,3)="SW ",LEFT(H21,3)="SE ",LEFT(H21,2)="N ",LEFT(H21,2)="E ",LEFT(H21,2)="W ",LEFT(H21,2)="S "),"Directional Check",IF(SUM(--ISNUMBER(SEARCH({" N "," E "," W "," S "," NE "," NW "," SW "," SE ","N.E","N.W","S.W","S.E","E.","N.","S.","W."},H21)))&gt;0,"Directional Check",IF(SUM(--ISNUMBER(SEARCH({1,2,3,4,5,6,7,8,9,0},MID(H21,(SEARCH("nd ",H21)-1),1))))+SUM(--ISNUMBER(SEARCH({1,2,3,4,5,6,7,8,9,0},MID(H21,(SEARCH("rd ",H21)-1),1)))+SUM(--ISNUMBER(SEARCH({1,2,3,4,5,6,7,8,9,0},MID(H21,(SEARCH("st ",H21)-1),1))))+SUM(--ISNUMBER(SEARCH({1,2,3,4,5,6,7,8,9,0},MID(H21,(SEARCH("th ",H21)-1),1)))))&gt;0,"","")))))</f>
        <v/>
      </c>
      <c r="AA21" s="2" t="str">
        <f>IF(IF(L21="US",IFERROR(VLOOKUP(J21,'Country Codes'!$B:$B,1,0)=J21,"US State Code Error"),IF(L21="CA",IFERROR(VLOOKUP(J21,'Country Codes'!$E:$E,1,0)=J21,"Canada State Code Error"),IF(L21="BR",IFERROR(VLOOKUP(J21,'Country Codes'!$H:$H,1,0)=J21,"Brazil State Code Error"),IF(L21="AU",IFERROR(VLOOKUP(J21,'Country Codes'!$K:$K,1,0)=J21,"Australia State Code Error"),""))))=TRUE,"",IF(L21="US",IFERROR(VLOOKUP(J21,'Country Codes'!$B:$B,1,0)=J21,"US State Code Error"),IF(L21="CA",IFERROR(VLOOKUP(J21,'Country Codes'!$E:$E,1,0)=J21,"Canada State Code Error"),IF(L21="BR",IFERROR(VLOOKUP(J21,'Country Codes'!$H:$H,1,0)=J21,"Brazil State Code Error"),IF(L21="AU",IFERROR(VLOOKUP(J21,'Country Codes'!$K:$K,1,0)=J21,"Australia State Code Error"),"")))))</f>
        <v/>
      </c>
      <c r="AB21" s="2" t="str">
        <f t="shared" si="23"/>
        <v/>
      </c>
      <c r="AC21" s="2" t="str" cm="1">
        <f t="array" ref="AC21">IFERROR(_xlfn.IFS(IF(AND(LEN(I21)=0,ISBLANK(I21)=FALSE),"",ISNUMBER(SEARCH(I21,H21))),"City/Postal Code/Country Found in Address",IF(AND(LEN(K21)=0,ISBLANK(K21)=FALSE),"",ISNUMBER(SEARCH(K21,H21))),"City/Postal Code/Country Found in Address",IF(AND(LEN(L21)=0,ISBLANK(L21)=FALSE),"",ISNUMBER(SEARCH(", "&amp;L21,H21))),"City/Postal Code/Country Found in Address",IF(AND(LEN(J21)=0,ISBLANK(J21)=FALSE),"",ISNUMBER(SEARCH(", "&amp;J21,H21))),"City/Postal Code/Country Found in Address",IF(AND(LEN(L21)=0,ISBLANK(L21)=FALSE),"",ISNUMBER(SEARCH(","&amp;L21,H21))),"City/Postal Code/Country Found in Address",IF(AND(LEN(J21)=0,ISBLANK(J21)=FALSE),"",ISNUMBER(SEARCH(","&amp;J21,H21))),"City/Postal Code/Country Found in Address"),"")</f>
        <v/>
      </c>
      <c r="AD21" s="2" t="str">
        <f t="shared" si="24"/>
        <v/>
      </c>
      <c r="AE21" s="2" t="str" cm="1">
        <f t="array" ref="AE21">IFERROR(IF(VLOOKUP(LEFT(M21,MIN(SEARCH({1,2,3,4,5,6,7,8,9,0},M21&amp;{1,2,3,4,5,6,7,8,9,0}))-1),'Country Codes'!$N:$N,1,0)&gt;0,"PO Number may be incorrect",""),"")</f>
        <v/>
      </c>
      <c r="AF21" s="2" t="str">
        <f t="shared" si="25"/>
        <v/>
      </c>
      <c r="AG21" s="2" t="str">
        <f t="shared" si="26"/>
        <v/>
      </c>
      <c r="AH21" s="2" t="str">
        <f t="shared" si="27"/>
        <v/>
      </c>
      <c r="AI21" s="2" t="str" cm="1">
        <f t="array" ref="AI21">IF(G21="","",_xlfn.IFNA(_xlfn.IFS(L21=VLOOKUP(L21,'Country Codes'!$M:$M,1,0)=TRUE,""),"Please check the country code"))</f>
        <v/>
      </c>
      <c r="AJ21" s="2" t="str">
        <f t="shared" si="11"/>
        <v/>
      </c>
      <c r="AK21" s="2"/>
      <c r="AM21" s="43">
        <f t="shared" si="12"/>
        <v>0</v>
      </c>
      <c r="AN21" s="43">
        <f t="shared" si="13"/>
        <v>0</v>
      </c>
      <c r="AO21" s="43">
        <f t="shared" si="14"/>
        <v>0</v>
      </c>
      <c r="AP21" s="43">
        <f t="shared" si="15"/>
        <v>0</v>
      </c>
      <c r="AQ21" s="43">
        <f t="shared" si="16"/>
        <v>0</v>
      </c>
    </row>
    <row r="22" spans="1:43" ht="15.75" x14ac:dyDescent="0.25">
      <c r="A22" s="16" t="s">
        <v>473</v>
      </c>
      <c r="B22" s="11" t="s">
        <v>483</v>
      </c>
      <c r="C22" s="11" t="s">
        <v>11</v>
      </c>
      <c r="D22" s="11" t="s">
        <v>494</v>
      </c>
      <c r="E22" s="11" t="s">
        <v>30</v>
      </c>
      <c r="F22" s="11" t="s">
        <v>499</v>
      </c>
      <c r="G22" s="11" t="s">
        <v>507</v>
      </c>
      <c r="H22" s="11" t="s">
        <v>513</v>
      </c>
      <c r="I22" s="11" t="s">
        <v>474</v>
      </c>
      <c r="J22" s="11" t="s">
        <v>57</v>
      </c>
      <c r="K22" s="11" t="s">
        <v>475</v>
      </c>
      <c r="L22" s="11" t="s">
        <v>33</v>
      </c>
      <c r="M22" s="11" t="s">
        <v>30</v>
      </c>
      <c r="N22" s="11" t="s">
        <v>30</v>
      </c>
      <c r="O22" s="11" t="s">
        <v>30</v>
      </c>
      <c r="P22" s="11" t="s">
        <v>452</v>
      </c>
      <c r="Q22" s="7"/>
      <c r="R22" s="2" t="str">
        <f t="shared" si="17"/>
        <v>Unique Record</v>
      </c>
      <c r="S22" s="2" t="str">
        <f t="shared" si="18"/>
        <v/>
      </c>
      <c r="T22" s="2" t="str">
        <f t="shared" si="19"/>
        <v/>
      </c>
      <c r="U22" s="2" t="str">
        <f t="shared" si="20"/>
        <v/>
      </c>
      <c r="V22" s="2" t="str">
        <f t="shared" si="21"/>
        <v/>
      </c>
      <c r="W22" s="2" t="str">
        <f t="shared" si="22"/>
        <v/>
      </c>
      <c r="X22" s="2" t="str" cm="1">
        <f t="array" ref="X22">IF((SUMPRODUCT(--ISNUMBER(SEARCH({"!","@","#","$","%","^","&amp;","~*","(",")","_","+","=","{","}","[","]","|","\",":",";","'","""","&lt;","&gt;",",",".","~?","/","~~","`"}, I22)))&gt;0)=TRUE,"Special Characters Found in City","")</f>
        <v/>
      </c>
      <c r="Y22" s="2" t="str" cm="1">
        <f t="array" ref="Y22">IF((SUMPRODUCT(--ISNUMBER(SEARCH({"!","@","#","$","%","^","~*","(",")","_","+","=","{","}","[","]","|","\",":",";","'","""","&lt;","&gt;","~?","/","~~","`"},F22)))&gt;0)=TRUE,"Special Characters Found in Account field","")</f>
        <v/>
      </c>
      <c r="Z22" s="2" t="str" cm="1">
        <f t="array" ref="Z22">IF(SUM(--ISNUMBER(SEARCH({1,2,3,4,5,6,7,8,9,0},MID(H22,(SEARCH(" E ",H22)-1),1))))+SUM(--ISNUMBER(SEARCH({1,2,3,4,5,6,7,8,9,0},MID(H22,(SEARCH(" E ",H22)+3),1))))=2,"",IF(SUM(--ISNUMBER(SEARCH({"Parte E","Apoquindo N"},H22)))&gt;0,"",IF(OR(RIGHT(H22,3)=" NE",RIGHT(H22,3)=" NW",RIGHT(H22,3)=" SW",RIGHT(H22,3)=" SE",RIGHT(H22,2)=" N",RIGHT(H22,2)=" E",RIGHT(H22,2)=" W",RIGHT(H22,2)=" S",LEFT(H22,3)="NE ",LEFT(H22,3)="NW ",LEFT(H22,3)="SW ",LEFT(H22,3)="SE ",LEFT(H22,2)="N ",LEFT(H22,2)="E ",LEFT(H22,2)="W ",LEFT(H22,2)="S "),"Directional Check",IF(SUM(--ISNUMBER(SEARCH({" N "," E "," W "," S "," NE "," NW "," SW "," SE ","N.E","N.W","S.W","S.E","E.","N.","S.","W."},H22)))&gt;0,"Directional Check",IF(SUM(--ISNUMBER(SEARCH({1,2,3,4,5,6,7,8,9,0},MID(H22,(SEARCH("nd ",H22)-1),1))))+SUM(--ISNUMBER(SEARCH({1,2,3,4,5,6,7,8,9,0},MID(H22,(SEARCH("rd ",H22)-1),1)))+SUM(--ISNUMBER(SEARCH({1,2,3,4,5,6,7,8,9,0},MID(H22,(SEARCH("st ",H22)-1),1))))+SUM(--ISNUMBER(SEARCH({1,2,3,4,5,6,7,8,9,0},MID(H22,(SEARCH("th ",H22)-1),1)))))&gt;0,"","")))))</f>
        <v/>
      </c>
      <c r="AA22" s="2" t="str">
        <f>IF(IF(L22="US",IFERROR(VLOOKUP(J22,'Country Codes'!$B:$B,1,0)=J22,"US State Code Error"),IF(L22="CA",IFERROR(VLOOKUP(J22,'Country Codes'!$E:$E,1,0)=J22,"Canada State Code Error"),IF(L22="BR",IFERROR(VLOOKUP(J22,'Country Codes'!$H:$H,1,0)=J22,"Brazil State Code Error"),IF(L22="AU",IFERROR(VLOOKUP(J22,'Country Codes'!$K:$K,1,0)=J22,"Australia State Code Error"),""))))=TRUE,"",IF(L22="US",IFERROR(VLOOKUP(J22,'Country Codes'!$B:$B,1,0)=J22,"US State Code Error"),IF(L22="CA",IFERROR(VLOOKUP(J22,'Country Codes'!$E:$E,1,0)=J22,"Canada State Code Error"),IF(L22="BR",IFERROR(VLOOKUP(J22,'Country Codes'!$H:$H,1,0)=J22,"Brazil State Code Error"),IF(L22="AU",IFERROR(VLOOKUP(J22,'Country Codes'!$K:$K,1,0)=J22,"Australia State Code Error"),"")))))</f>
        <v/>
      </c>
      <c r="AB22" s="2" t="str">
        <f t="shared" si="23"/>
        <v/>
      </c>
      <c r="AC22" s="2" t="str" cm="1">
        <f t="array" ref="AC22">IFERROR(_xlfn.IFS(IF(AND(LEN(I22)=0,ISBLANK(I22)=FALSE),"",ISNUMBER(SEARCH(I22,H22))),"City/Postal Code/Country Found in Address",IF(AND(LEN(K22)=0,ISBLANK(K22)=FALSE),"",ISNUMBER(SEARCH(K22,H22))),"City/Postal Code/Country Found in Address",IF(AND(LEN(L22)=0,ISBLANK(L22)=FALSE),"",ISNUMBER(SEARCH(", "&amp;L22,H22))),"City/Postal Code/Country Found in Address",IF(AND(LEN(J22)=0,ISBLANK(J22)=FALSE),"",ISNUMBER(SEARCH(", "&amp;J22,H22))),"City/Postal Code/Country Found in Address",IF(AND(LEN(L22)=0,ISBLANK(L22)=FALSE),"",ISNUMBER(SEARCH(","&amp;L22,H22))),"City/Postal Code/Country Found in Address",IF(AND(LEN(J22)=0,ISBLANK(J22)=FALSE),"",ISNUMBER(SEARCH(","&amp;J22,H22))),"City/Postal Code/Country Found in Address"),"")</f>
        <v/>
      </c>
      <c r="AD22" s="2" t="str">
        <f t="shared" si="24"/>
        <v/>
      </c>
      <c r="AE22" s="2" t="str" cm="1">
        <f t="array" ref="AE22">IFERROR(IF(VLOOKUP(LEFT(M22,MIN(SEARCH({1,2,3,4,5,6,7,8,9,0},M22&amp;{1,2,3,4,5,6,7,8,9,0}))-1),'Country Codes'!$N:$N,1,0)&gt;0,"PO Number may be incorrect",""),"")</f>
        <v/>
      </c>
      <c r="AF22" s="2" t="str">
        <f t="shared" si="25"/>
        <v/>
      </c>
      <c r="AG22" s="2" t="str">
        <f t="shared" si="26"/>
        <v/>
      </c>
      <c r="AH22" s="2" t="str">
        <f t="shared" si="27"/>
        <v/>
      </c>
      <c r="AI22" s="2" t="str" cm="1">
        <f t="array" ref="AI22">IF(G22="","",_xlfn.IFNA(_xlfn.IFS(L22=VLOOKUP(L22,'Country Codes'!$M:$M,1,0)=TRUE,""),"Please check the country code"))</f>
        <v/>
      </c>
      <c r="AJ22" s="2" t="str">
        <f t="shared" si="11"/>
        <v/>
      </c>
      <c r="AK22" s="2"/>
      <c r="AM22" s="43">
        <f t="shared" si="12"/>
        <v>0</v>
      </c>
      <c r="AN22" s="43">
        <f t="shared" si="13"/>
        <v>0</v>
      </c>
      <c r="AO22" s="43">
        <f t="shared" si="14"/>
        <v>0</v>
      </c>
      <c r="AP22" s="43">
        <f t="shared" si="15"/>
        <v>0</v>
      </c>
      <c r="AQ22" s="43">
        <f t="shared" si="16"/>
        <v>0</v>
      </c>
    </row>
    <row r="23" spans="1:43" ht="15.75" x14ac:dyDescent="0.25">
      <c r="A23" s="16" t="s">
        <v>473</v>
      </c>
      <c r="B23" s="11" t="s">
        <v>483</v>
      </c>
      <c r="C23" s="11" t="s">
        <v>12</v>
      </c>
      <c r="D23" s="11" t="s">
        <v>30</v>
      </c>
      <c r="E23" s="11" t="s">
        <v>452</v>
      </c>
      <c r="F23" s="11" t="s">
        <v>499</v>
      </c>
      <c r="G23" s="11" t="s">
        <v>507</v>
      </c>
      <c r="H23" s="11" t="s">
        <v>513</v>
      </c>
      <c r="I23" s="11" t="s">
        <v>474</v>
      </c>
      <c r="J23" s="11" t="s">
        <v>57</v>
      </c>
      <c r="K23" s="11" t="s">
        <v>475</v>
      </c>
      <c r="L23" s="11" t="s">
        <v>33</v>
      </c>
      <c r="M23" s="11" t="s">
        <v>30</v>
      </c>
      <c r="N23" s="11" t="s">
        <v>30</v>
      </c>
      <c r="O23" s="11" t="s">
        <v>30</v>
      </c>
      <c r="P23" s="11" t="s">
        <v>452</v>
      </c>
      <c r="Q23" s="7"/>
      <c r="R23" s="2" t="str">
        <f t="shared" si="17"/>
        <v/>
      </c>
      <c r="S23" s="2" t="str">
        <f t="shared" si="18"/>
        <v/>
      </c>
      <c r="T23" s="2" t="str">
        <f t="shared" si="19"/>
        <v/>
      </c>
      <c r="U23" s="2" t="str">
        <f t="shared" si="20"/>
        <v/>
      </c>
      <c r="V23" s="2" t="str">
        <f t="shared" si="21"/>
        <v/>
      </c>
      <c r="W23" s="2" t="str">
        <f t="shared" si="22"/>
        <v/>
      </c>
      <c r="X23" s="2" t="str" cm="1">
        <f t="array" ref="X23">IF((SUMPRODUCT(--ISNUMBER(SEARCH({"!","@","#","$","%","^","&amp;","~*","(",")","_","+","=","{","}","[","]","|","\",":",";","'","""","&lt;","&gt;",",",".","~?","/","~~","`"}, I23)))&gt;0)=TRUE,"Special Characters Found in City","")</f>
        <v/>
      </c>
      <c r="Y23" s="2" t="str" cm="1">
        <f t="array" ref="Y23">IF((SUMPRODUCT(--ISNUMBER(SEARCH({"!","@","#","$","%","^","~*","(",")","_","+","=","{","}","[","]","|","\",":",";","'","""","&lt;","&gt;","~?","/","~~","`"},F23)))&gt;0)=TRUE,"Special Characters Found in Account field","")</f>
        <v/>
      </c>
      <c r="Z23" s="2" t="str" cm="1">
        <f t="array" ref="Z23">IF(SUM(--ISNUMBER(SEARCH({1,2,3,4,5,6,7,8,9,0},MID(H23,(SEARCH(" E ",H23)-1),1))))+SUM(--ISNUMBER(SEARCH({1,2,3,4,5,6,7,8,9,0},MID(H23,(SEARCH(" E ",H23)+3),1))))=2,"",IF(SUM(--ISNUMBER(SEARCH({"Parte E","Apoquindo N"},H23)))&gt;0,"",IF(OR(RIGHT(H23,3)=" NE",RIGHT(H23,3)=" NW",RIGHT(H23,3)=" SW",RIGHT(H23,3)=" SE",RIGHT(H23,2)=" N",RIGHT(H23,2)=" E",RIGHT(H23,2)=" W",RIGHT(H23,2)=" S",LEFT(H23,3)="NE ",LEFT(H23,3)="NW ",LEFT(H23,3)="SW ",LEFT(H23,3)="SE ",LEFT(H23,2)="N ",LEFT(H23,2)="E ",LEFT(H23,2)="W ",LEFT(H23,2)="S "),"Directional Check",IF(SUM(--ISNUMBER(SEARCH({" N "," E "," W "," S "," NE "," NW "," SW "," SE ","N.E","N.W","S.W","S.E","E.","N.","S.","W."},H23)))&gt;0,"Directional Check",IF(SUM(--ISNUMBER(SEARCH({1,2,3,4,5,6,7,8,9,0},MID(H23,(SEARCH("nd ",H23)-1),1))))+SUM(--ISNUMBER(SEARCH({1,2,3,4,5,6,7,8,9,0},MID(H23,(SEARCH("rd ",H23)-1),1)))+SUM(--ISNUMBER(SEARCH({1,2,3,4,5,6,7,8,9,0},MID(H23,(SEARCH("st ",H23)-1),1))))+SUM(--ISNUMBER(SEARCH({1,2,3,4,5,6,7,8,9,0},MID(H23,(SEARCH("th ",H23)-1),1)))))&gt;0,"","")))))</f>
        <v/>
      </c>
      <c r="AA23" s="2" t="str">
        <f>IF(IF(L23="US",IFERROR(VLOOKUP(J23,'Country Codes'!$B:$B,1,0)=J23,"US State Code Error"),IF(L23="CA",IFERROR(VLOOKUP(J23,'Country Codes'!$E:$E,1,0)=J23,"Canada State Code Error"),IF(L23="BR",IFERROR(VLOOKUP(J23,'Country Codes'!$H:$H,1,0)=J23,"Brazil State Code Error"),IF(L23="AU",IFERROR(VLOOKUP(J23,'Country Codes'!$K:$K,1,0)=J23,"Australia State Code Error"),""))))=TRUE,"",IF(L23="US",IFERROR(VLOOKUP(J23,'Country Codes'!$B:$B,1,0)=J23,"US State Code Error"),IF(L23="CA",IFERROR(VLOOKUP(J23,'Country Codes'!$E:$E,1,0)=J23,"Canada State Code Error"),IF(L23="BR",IFERROR(VLOOKUP(J23,'Country Codes'!$H:$H,1,0)=J23,"Brazil State Code Error"),IF(L23="AU",IFERROR(VLOOKUP(J23,'Country Codes'!$K:$K,1,0)=J23,"Australia State Code Error"),"")))))</f>
        <v/>
      </c>
      <c r="AB23" s="2" t="str">
        <f t="shared" si="23"/>
        <v/>
      </c>
      <c r="AC23" s="2" t="str" cm="1">
        <f t="array" ref="AC23">IFERROR(_xlfn.IFS(IF(AND(LEN(I23)=0,ISBLANK(I23)=FALSE),"",ISNUMBER(SEARCH(I23,H23))),"City/Postal Code/Country Found in Address",IF(AND(LEN(K23)=0,ISBLANK(K23)=FALSE),"",ISNUMBER(SEARCH(K23,H23))),"City/Postal Code/Country Found in Address",IF(AND(LEN(L23)=0,ISBLANK(L23)=FALSE),"",ISNUMBER(SEARCH(", "&amp;L23,H23))),"City/Postal Code/Country Found in Address",IF(AND(LEN(J23)=0,ISBLANK(J23)=FALSE),"",ISNUMBER(SEARCH(", "&amp;J23,H23))),"City/Postal Code/Country Found in Address",IF(AND(LEN(L23)=0,ISBLANK(L23)=FALSE),"",ISNUMBER(SEARCH(","&amp;L23,H23))),"City/Postal Code/Country Found in Address",IF(AND(LEN(J23)=0,ISBLANK(J23)=FALSE),"",ISNUMBER(SEARCH(","&amp;J23,H23))),"City/Postal Code/Country Found in Address"),"")</f>
        <v/>
      </c>
      <c r="AD23" s="2" t="str">
        <f t="shared" si="24"/>
        <v/>
      </c>
      <c r="AE23" s="2" t="str" cm="1">
        <f t="array" ref="AE23">IFERROR(IF(VLOOKUP(LEFT(M23,MIN(SEARCH({1,2,3,4,5,6,7,8,9,0},M23&amp;{1,2,3,4,5,6,7,8,9,0}))-1),'Country Codes'!$N:$N,1,0)&gt;0,"PO Number may be incorrect",""),"")</f>
        <v/>
      </c>
      <c r="AF23" s="2" t="str">
        <f t="shared" si="25"/>
        <v/>
      </c>
      <c r="AG23" s="2" t="str">
        <f t="shared" si="26"/>
        <v/>
      </c>
      <c r="AH23" s="2" t="str">
        <f t="shared" si="27"/>
        <v/>
      </c>
      <c r="AI23" s="2" t="str" cm="1">
        <f t="array" ref="AI23">IF(G23="","",_xlfn.IFNA(_xlfn.IFS(L23=VLOOKUP(L23,'Country Codes'!$M:$M,1,0)=TRUE,""),"Please check the country code"))</f>
        <v/>
      </c>
      <c r="AJ23" s="2" t="str">
        <f t="shared" si="11"/>
        <v/>
      </c>
      <c r="AK23" s="2"/>
      <c r="AM23" s="43">
        <f t="shared" si="12"/>
        <v>0</v>
      </c>
      <c r="AN23" s="43">
        <f t="shared" si="13"/>
        <v>0</v>
      </c>
      <c r="AO23" s="43">
        <f t="shared" si="14"/>
        <v>0</v>
      </c>
      <c r="AP23" s="43">
        <f t="shared" si="15"/>
        <v>0</v>
      </c>
      <c r="AQ23" s="43">
        <f t="shared" si="16"/>
        <v>0</v>
      </c>
    </row>
    <row r="24" spans="1:43" ht="15.75" x14ac:dyDescent="0.25">
      <c r="A24" s="16" t="s">
        <v>476</v>
      </c>
      <c r="B24" s="11" t="s">
        <v>483</v>
      </c>
      <c r="C24" s="11" t="s">
        <v>9</v>
      </c>
      <c r="D24" s="11" t="s">
        <v>30</v>
      </c>
      <c r="E24" s="11" t="s">
        <v>496</v>
      </c>
      <c r="F24" s="11" t="s">
        <v>499</v>
      </c>
      <c r="G24" s="11" t="s">
        <v>507</v>
      </c>
      <c r="H24" s="11" t="s">
        <v>513</v>
      </c>
      <c r="I24" s="11" t="s">
        <v>474</v>
      </c>
      <c r="J24" s="11" t="s">
        <v>57</v>
      </c>
      <c r="K24" s="11" t="s">
        <v>475</v>
      </c>
      <c r="L24" s="11" t="s">
        <v>33</v>
      </c>
      <c r="M24" s="11" t="s">
        <v>30</v>
      </c>
      <c r="N24" s="11" t="s">
        <v>30</v>
      </c>
      <c r="O24" s="11" t="s">
        <v>30</v>
      </c>
      <c r="P24" s="11" t="s">
        <v>452</v>
      </c>
      <c r="Q24" s="7"/>
      <c r="R24" s="2" t="str">
        <f t="shared" si="17"/>
        <v/>
      </c>
      <c r="S24" s="2" t="str">
        <f t="shared" si="18"/>
        <v/>
      </c>
      <c r="T24" s="2" t="str">
        <f t="shared" si="19"/>
        <v/>
      </c>
      <c r="U24" s="2" t="str">
        <f t="shared" si="20"/>
        <v/>
      </c>
      <c r="V24" s="2" t="str">
        <f t="shared" si="21"/>
        <v/>
      </c>
      <c r="W24" s="2" t="str">
        <f t="shared" si="22"/>
        <v/>
      </c>
      <c r="X24" s="2" t="str" cm="1">
        <f t="array" ref="X24">IF((SUMPRODUCT(--ISNUMBER(SEARCH({"!","@","#","$","%","^","&amp;","~*","(",")","_","+","=","{","}","[","]","|","\",":",";","'","""","&lt;","&gt;",",",".","~?","/","~~","`"}, I24)))&gt;0)=TRUE,"Special Characters Found in City","")</f>
        <v/>
      </c>
      <c r="Y24" s="2" t="str" cm="1">
        <f t="array" ref="Y24">IF((SUMPRODUCT(--ISNUMBER(SEARCH({"!","@","#","$","%","^","~*","(",")","_","+","=","{","}","[","]","|","\",":",";","'","""","&lt;","&gt;","~?","/","~~","`"},F24)))&gt;0)=TRUE,"Special Characters Found in Account field","")</f>
        <v/>
      </c>
      <c r="Z24" s="2" t="str" cm="1">
        <f t="array" ref="Z24">IF(SUM(--ISNUMBER(SEARCH({1,2,3,4,5,6,7,8,9,0},MID(H24,(SEARCH(" E ",H24)-1),1))))+SUM(--ISNUMBER(SEARCH({1,2,3,4,5,6,7,8,9,0},MID(H24,(SEARCH(" E ",H24)+3),1))))=2,"",IF(SUM(--ISNUMBER(SEARCH({"Parte E","Apoquindo N"},H24)))&gt;0,"",IF(OR(RIGHT(H24,3)=" NE",RIGHT(H24,3)=" NW",RIGHT(H24,3)=" SW",RIGHT(H24,3)=" SE",RIGHT(H24,2)=" N",RIGHT(H24,2)=" E",RIGHT(H24,2)=" W",RIGHT(H24,2)=" S",LEFT(H24,3)="NE ",LEFT(H24,3)="NW ",LEFT(H24,3)="SW ",LEFT(H24,3)="SE ",LEFT(H24,2)="N ",LEFT(H24,2)="E ",LEFT(H24,2)="W ",LEFT(H24,2)="S "),"Directional Check",IF(SUM(--ISNUMBER(SEARCH({" N "," E "," W "," S "," NE "," NW "," SW "," SE ","N.E","N.W","S.W","S.E","E.","N.","S.","W."},H24)))&gt;0,"Directional Check",IF(SUM(--ISNUMBER(SEARCH({1,2,3,4,5,6,7,8,9,0},MID(H24,(SEARCH("nd ",H24)-1),1))))+SUM(--ISNUMBER(SEARCH({1,2,3,4,5,6,7,8,9,0},MID(H24,(SEARCH("rd ",H24)-1),1)))+SUM(--ISNUMBER(SEARCH({1,2,3,4,5,6,7,8,9,0},MID(H24,(SEARCH("st ",H24)-1),1))))+SUM(--ISNUMBER(SEARCH({1,2,3,4,5,6,7,8,9,0},MID(H24,(SEARCH("th ",H24)-1),1)))))&gt;0,"","")))))</f>
        <v/>
      </c>
      <c r="AA24" s="2" t="str">
        <f>IF(IF(L24="US",IFERROR(VLOOKUP(J24,'Country Codes'!$B:$B,1,0)=J24,"US State Code Error"),IF(L24="CA",IFERROR(VLOOKUP(J24,'Country Codes'!$E:$E,1,0)=J24,"Canada State Code Error"),IF(L24="BR",IFERROR(VLOOKUP(J24,'Country Codes'!$H:$H,1,0)=J24,"Brazil State Code Error"),IF(L24="AU",IFERROR(VLOOKUP(J24,'Country Codes'!$K:$K,1,0)=J24,"Australia State Code Error"),""))))=TRUE,"",IF(L24="US",IFERROR(VLOOKUP(J24,'Country Codes'!$B:$B,1,0)=J24,"US State Code Error"),IF(L24="CA",IFERROR(VLOOKUP(J24,'Country Codes'!$E:$E,1,0)=J24,"Canada State Code Error"),IF(L24="BR",IFERROR(VLOOKUP(J24,'Country Codes'!$H:$H,1,0)=J24,"Brazil State Code Error"),IF(L24="AU",IFERROR(VLOOKUP(J24,'Country Codes'!$K:$K,1,0)=J24,"Australia State Code Error"),"")))))</f>
        <v/>
      </c>
      <c r="AB24" s="2" t="str">
        <f t="shared" si="23"/>
        <v/>
      </c>
      <c r="AC24" s="2" t="str" cm="1">
        <f t="array" ref="AC24">IFERROR(_xlfn.IFS(IF(AND(LEN(I24)=0,ISBLANK(I24)=FALSE),"",ISNUMBER(SEARCH(I24,H24))),"City/Postal Code/Country Found in Address",IF(AND(LEN(K24)=0,ISBLANK(K24)=FALSE),"",ISNUMBER(SEARCH(K24,H24))),"City/Postal Code/Country Found in Address",IF(AND(LEN(L24)=0,ISBLANK(L24)=FALSE),"",ISNUMBER(SEARCH(", "&amp;L24,H24))),"City/Postal Code/Country Found in Address",IF(AND(LEN(J24)=0,ISBLANK(J24)=FALSE),"",ISNUMBER(SEARCH(", "&amp;J24,H24))),"City/Postal Code/Country Found in Address",IF(AND(LEN(L24)=0,ISBLANK(L24)=FALSE),"",ISNUMBER(SEARCH(","&amp;L24,H24))),"City/Postal Code/Country Found in Address",IF(AND(LEN(J24)=0,ISBLANK(J24)=FALSE),"",ISNUMBER(SEARCH(","&amp;J24,H24))),"City/Postal Code/Country Found in Address"),"")</f>
        <v/>
      </c>
      <c r="AD24" s="2" t="str">
        <f t="shared" si="24"/>
        <v/>
      </c>
      <c r="AE24" s="2" t="str" cm="1">
        <f t="array" ref="AE24">IFERROR(IF(VLOOKUP(LEFT(M24,MIN(SEARCH({1,2,3,4,5,6,7,8,9,0},M24&amp;{1,2,3,4,5,6,7,8,9,0}))-1),'Country Codes'!$N:$N,1,0)&gt;0,"PO Number may be incorrect",""),"")</f>
        <v/>
      </c>
      <c r="AF24" s="2" t="str">
        <f t="shared" si="25"/>
        <v/>
      </c>
      <c r="AG24" s="2" t="str">
        <f t="shared" si="26"/>
        <v/>
      </c>
      <c r="AH24" s="2" t="str">
        <f t="shared" si="27"/>
        <v/>
      </c>
      <c r="AI24" s="2" t="str" cm="1">
        <f t="array" ref="AI24">IF(G24="","",_xlfn.IFNA(_xlfn.IFS(L24=VLOOKUP(L24,'Country Codes'!$M:$M,1,0)=TRUE,""),"Please check the country code"))</f>
        <v/>
      </c>
      <c r="AJ24" s="2" t="str">
        <f t="shared" si="11"/>
        <v/>
      </c>
      <c r="AK24" s="2"/>
      <c r="AM24" s="43">
        <f t="shared" si="12"/>
        <v>0</v>
      </c>
      <c r="AN24" s="43">
        <f t="shared" si="13"/>
        <v>0</v>
      </c>
      <c r="AO24" s="43">
        <f t="shared" si="14"/>
        <v>0</v>
      </c>
      <c r="AP24" s="43">
        <f t="shared" si="15"/>
        <v>0</v>
      </c>
      <c r="AQ24" s="43">
        <f t="shared" si="16"/>
        <v>0</v>
      </c>
    </row>
    <row r="25" spans="1:43" ht="15.75" x14ac:dyDescent="0.25">
      <c r="A25" s="16" t="s">
        <v>459</v>
      </c>
      <c r="B25" s="11" t="s">
        <v>482</v>
      </c>
      <c r="C25" s="11" t="s">
        <v>9</v>
      </c>
      <c r="D25" s="11" t="s">
        <v>460</v>
      </c>
      <c r="E25" s="11" t="s">
        <v>461</v>
      </c>
      <c r="F25" s="11" t="s">
        <v>488</v>
      </c>
      <c r="G25" s="11" t="s">
        <v>502</v>
      </c>
      <c r="H25" s="11" t="s">
        <v>509</v>
      </c>
      <c r="I25" s="11" t="s">
        <v>538</v>
      </c>
      <c r="J25" s="11" t="s">
        <v>97</v>
      </c>
      <c r="K25" s="11" t="s">
        <v>463</v>
      </c>
      <c r="L25" s="11" t="s">
        <v>33</v>
      </c>
      <c r="M25" s="11" t="s">
        <v>514</v>
      </c>
      <c r="N25" s="11" t="s">
        <v>30</v>
      </c>
      <c r="O25" s="11" t="s">
        <v>30</v>
      </c>
      <c r="P25" s="11" t="s">
        <v>452</v>
      </c>
      <c r="Q25" s="32"/>
      <c r="R25" s="2" t="str">
        <f t="shared" si="17"/>
        <v>Unique Record</v>
      </c>
      <c r="S25" s="2" t="str">
        <f t="shared" si="18"/>
        <v/>
      </c>
      <c r="T25" s="2" t="str">
        <f t="shared" si="19"/>
        <v/>
      </c>
      <c r="U25" s="2" t="str">
        <f t="shared" si="20"/>
        <v/>
      </c>
      <c r="V25" s="2" t="str">
        <f t="shared" si="21"/>
        <v>City - casing</v>
      </c>
      <c r="W25" s="2" t="str">
        <f t="shared" si="22"/>
        <v/>
      </c>
      <c r="X25" s="2" t="str" cm="1">
        <f t="array" ref="X25">IF((SUMPRODUCT(--ISNUMBER(SEARCH({"!","@","#","$","%","^","&amp;","~*","(",")","_","+","=","{","}","[","]","|","\",":",";","'","""","&lt;","&gt;",",",".","~?","/","~~","`"}, I25)))&gt;0)=TRUE,"Special Characters Found in City","")</f>
        <v/>
      </c>
      <c r="Y25" s="2" t="str" cm="1">
        <f t="array" ref="Y25">IF((SUMPRODUCT(--ISNUMBER(SEARCH({"!","@","#","$","%","^","~*","(",")","_","+","=","{","}","[","]","|","\",":",";","'","""","&lt;","&gt;","~?","/","~~","`"},F25)))&gt;0)=TRUE,"Special Characters Found in Account field","")</f>
        <v/>
      </c>
      <c r="Z25" s="2" t="str" cm="1">
        <f t="array" ref="Z25">IF(SUM(--ISNUMBER(SEARCH({1,2,3,4,5,6,7,8,9,0},MID(H25,(SEARCH(" E ",H25)-1),1))))+SUM(--ISNUMBER(SEARCH({1,2,3,4,5,6,7,8,9,0},MID(H25,(SEARCH(" E ",H25)+3),1))))=2,"",IF(SUM(--ISNUMBER(SEARCH({"Parte E","Apoquindo N"},H25)))&gt;0,"",IF(OR(RIGHT(H25,3)=" NE",RIGHT(H25,3)=" NW",RIGHT(H25,3)=" SW",RIGHT(H25,3)=" SE",RIGHT(H25,2)=" N",RIGHT(H25,2)=" E",RIGHT(H25,2)=" W",RIGHT(H25,2)=" S",LEFT(H25,3)="NE ",LEFT(H25,3)="NW ",LEFT(H25,3)="SW ",LEFT(H25,3)="SE ",LEFT(H25,2)="N ",LEFT(H25,2)="E ",LEFT(H25,2)="W ",LEFT(H25,2)="S "),"Directional Check",IF(SUM(--ISNUMBER(SEARCH({" N "," E "," W "," S "," NE "," NW "," SW "," SE ","N.E","N.W","S.W","S.E","E.","N.","S.","W."},H25)))&gt;0,"Directional Check",IF(SUM(--ISNUMBER(SEARCH({1,2,3,4,5,6,7,8,9,0},MID(H25,(SEARCH("nd ",H25)-1),1))))+SUM(--ISNUMBER(SEARCH({1,2,3,4,5,6,7,8,9,0},MID(H25,(SEARCH("rd ",H25)-1),1)))+SUM(--ISNUMBER(SEARCH({1,2,3,4,5,6,7,8,9,0},MID(H25,(SEARCH("st ",H25)-1),1))))+SUM(--ISNUMBER(SEARCH({1,2,3,4,5,6,7,8,9,0},MID(H25,(SEARCH("th ",H25)-1),1)))))&gt;0,"","")))))</f>
        <v/>
      </c>
      <c r="AA25" s="2" t="str">
        <f>IF(IF(L25="US",IFERROR(VLOOKUP(J25,'Country Codes'!$B:$B,1,0)=J25,"US State Code Error"),IF(L25="CA",IFERROR(VLOOKUP(J25,'Country Codes'!$E:$E,1,0)=J25,"Canada State Code Error"),IF(L25="BR",IFERROR(VLOOKUP(J25,'Country Codes'!$H:$H,1,0)=J25,"Brazil State Code Error"),IF(L25="AU",IFERROR(VLOOKUP(J25,'Country Codes'!$K:$K,1,0)=J25,"Australia State Code Error"),""))))=TRUE,"",IF(L25="US",IFERROR(VLOOKUP(J25,'Country Codes'!$B:$B,1,0)=J25,"US State Code Error"),IF(L25="CA",IFERROR(VLOOKUP(J25,'Country Codes'!$E:$E,1,0)=J25,"Canada State Code Error"),IF(L25="BR",IFERROR(VLOOKUP(J25,'Country Codes'!$H:$H,1,0)=J25,"Brazil State Code Error"),IF(L25="AU",IFERROR(VLOOKUP(J25,'Country Codes'!$K:$K,1,0)=J25,"Australia State Code Error"),"")))))</f>
        <v/>
      </c>
      <c r="AB25" s="2" t="str">
        <f t="shared" si="23"/>
        <v/>
      </c>
      <c r="AC25" s="2" t="str" cm="1">
        <f t="array" ref="AC25">IFERROR(_xlfn.IFS(IF(AND(LEN(I25)=0,ISBLANK(I25)=FALSE),"",ISNUMBER(SEARCH(I25,H25))),"City/Postal Code/Country Found in Address",IF(AND(LEN(K25)=0,ISBLANK(K25)=FALSE),"",ISNUMBER(SEARCH(K25,H25))),"City/Postal Code/Country Found in Address",IF(AND(LEN(L25)=0,ISBLANK(L25)=FALSE),"",ISNUMBER(SEARCH(", "&amp;L25,H25))),"City/Postal Code/Country Found in Address",IF(AND(LEN(J25)=0,ISBLANK(J25)=FALSE),"",ISNUMBER(SEARCH(", "&amp;J25,H25))),"City/Postal Code/Country Found in Address",IF(AND(LEN(L25)=0,ISBLANK(L25)=FALSE),"",ISNUMBER(SEARCH(","&amp;L25,H25))),"City/Postal Code/Country Found in Address",IF(AND(LEN(J25)=0,ISBLANK(J25)=FALSE),"",ISNUMBER(SEARCH(","&amp;J25,H25))),"City/Postal Code/Country Found in Address"),"")</f>
        <v/>
      </c>
      <c r="AD25" s="2" t="str">
        <f t="shared" si="24"/>
        <v/>
      </c>
      <c r="AE25" s="2" t="str" cm="1">
        <f t="array" ref="AE25">IFERROR(IF(VLOOKUP(LEFT(M25,MIN(SEARCH({1,2,3,4,5,6,7,8,9,0},M25&amp;{1,2,3,4,5,6,7,8,9,0}))-1),'Country Codes'!$N:$N,1,0)&gt;0,"PO Number may be incorrect",""),"")</f>
        <v/>
      </c>
      <c r="AF25" s="2" t="str">
        <f t="shared" si="25"/>
        <v/>
      </c>
      <c r="AG25" s="2" t="str">
        <f t="shared" si="26"/>
        <v/>
      </c>
      <c r="AH25" s="2" t="str">
        <f t="shared" si="27"/>
        <v/>
      </c>
      <c r="AI25" s="2" t="str" cm="1">
        <f t="array" ref="AI25">IF(G25="","",_xlfn.IFNA(_xlfn.IFS(L25=VLOOKUP(L25,'Country Codes'!$M:$M,1,0)=TRUE,""),"Please check the country code"))</f>
        <v/>
      </c>
      <c r="AJ25" s="2" t="str">
        <f t="shared" si="11"/>
        <v xml:space="preserve">City - casing; </v>
      </c>
      <c r="AK25" s="2"/>
      <c r="AM25" s="43">
        <f t="shared" si="12"/>
        <v>1</v>
      </c>
      <c r="AN25" s="43">
        <f t="shared" si="13"/>
        <v>0</v>
      </c>
      <c r="AO25" s="43">
        <f t="shared" si="14"/>
        <v>0</v>
      </c>
      <c r="AP25" s="43">
        <f t="shared" si="15"/>
        <v>0</v>
      </c>
      <c r="AQ25" s="43">
        <f t="shared" si="16"/>
        <v>1</v>
      </c>
    </row>
    <row r="26" spans="1:43" ht="15.75" x14ac:dyDescent="0.25">
      <c r="A26" s="16" t="s">
        <v>464</v>
      </c>
      <c r="B26" s="11" t="s">
        <v>482</v>
      </c>
      <c r="C26" s="11" t="s">
        <v>3</v>
      </c>
      <c r="D26" s="11" t="s">
        <v>487</v>
      </c>
      <c r="E26" s="11" t="s">
        <v>488</v>
      </c>
      <c r="F26" s="11" t="s">
        <v>488</v>
      </c>
      <c r="G26" s="11" t="s">
        <v>502</v>
      </c>
      <c r="H26" s="11" t="s">
        <v>509</v>
      </c>
      <c r="I26" s="11" t="s">
        <v>462</v>
      </c>
      <c r="J26" s="11" t="s">
        <v>97</v>
      </c>
      <c r="K26" s="11" t="s">
        <v>463</v>
      </c>
      <c r="L26" s="11" t="s">
        <v>33</v>
      </c>
      <c r="M26" s="11" t="s">
        <v>514</v>
      </c>
      <c r="N26" s="11" t="s">
        <v>30</v>
      </c>
      <c r="O26" s="11" t="s">
        <v>30</v>
      </c>
      <c r="P26" s="11" t="s">
        <v>452</v>
      </c>
      <c r="Q26" s="7"/>
      <c r="R26" s="2" t="str">
        <f t="shared" si="17"/>
        <v/>
      </c>
      <c r="S26" s="2" t="str">
        <f t="shared" si="18"/>
        <v/>
      </c>
      <c r="T26" s="2" t="str">
        <f t="shared" si="19"/>
        <v/>
      </c>
      <c r="U26" s="2" t="str">
        <f t="shared" si="20"/>
        <v/>
      </c>
      <c r="V26" s="2" t="str">
        <f t="shared" si="21"/>
        <v/>
      </c>
      <c r="W26" s="2" t="str">
        <f t="shared" si="22"/>
        <v/>
      </c>
      <c r="X26" s="2" t="str" cm="1">
        <f t="array" ref="X26">IF((SUMPRODUCT(--ISNUMBER(SEARCH({"!","@","#","$","%","^","&amp;","~*","(",")","_","+","=","{","}","[","]","|","\",":",";","'","""","&lt;","&gt;",",",".","~?","/","~~","`"}, I26)))&gt;0)=TRUE,"Special Characters Found in City","")</f>
        <v/>
      </c>
      <c r="Y26" s="2" t="str" cm="1">
        <f t="array" ref="Y26">IF((SUMPRODUCT(--ISNUMBER(SEARCH({"!","@","#","$","%","^","~*","(",")","_","+","=","{","}","[","]","|","\",":",";","'","""","&lt;","&gt;","~?","/","~~","`"},F26)))&gt;0)=TRUE,"Special Characters Found in Account field","")</f>
        <v/>
      </c>
      <c r="Z26" s="2" t="str" cm="1">
        <f t="array" ref="Z26">IF(SUM(--ISNUMBER(SEARCH({1,2,3,4,5,6,7,8,9,0},MID(H26,(SEARCH(" E ",H26)-1),1))))+SUM(--ISNUMBER(SEARCH({1,2,3,4,5,6,7,8,9,0},MID(H26,(SEARCH(" E ",H26)+3),1))))=2,"",IF(SUM(--ISNUMBER(SEARCH({"Parte E","Apoquindo N"},H26)))&gt;0,"",IF(OR(RIGHT(H26,3)=" NE",RIGHT(H26,3)=" NW",RIGHT(H26,3)=" SW",RIGHT(H26,3)=" SE",RIGHT(H26,2)=" N",RIGHT(H26,2)=" E",RIGHT(H26,2)=" W",RIGHT(H26,2)=" S",LEFT(H26,3)="NE ",LEFT(H26,3)="NW ",LEFT(H26,3)="SW ",LEFT(H26,3)="SE ",LEFT(H26,2)="N ",LEFT(H26,2)="E ",LEFT(H26,2)="W ",LEFT(H26,2)="S "),"Directional Check",IF(SUM(--ISNUMBER(SEARCH({" N "," E "," W "," S "," NE "," NW "," SW "," SE ","N.E","N.W","S.W","S.E","E.","N.","S.","W."},H26)))&gt;0,"Directional Check",IF(SUM(--ISNUMBER(SEARCH({1,2,3,4,5,6,7,8,9,0},MID(H26,(SEARCH("nd ",H26)-1),1))))+SUM(--ISNUMBER(SEARCH({1,2,3,4,5,6,7,8,9,0},MID(H26,(SEARCH("rd ",H26)-1),1)))+SUM(--ISNUMBER(SEARCH({1,2,3,4,5,6,7,8,9,0},MID(H26,(SEARCH("st ",H26)-1),1))))+SUM(--ISNUMBER(SEARCH({1,2,3,4,5,6,7,8,9,0},MID(H26,(SEARCH("th ",H26)-1),1)))))&gt;0,"","")))))</f>
        <v/>
      </c>
      <c r="AA26" s="2" t="str">
        <f>IF(IF(L26="US",IFERROR(VLOOKUP(J26,'Country Codes'!$B:$B,1,0)=J26,"US State Code Error"),IF(L26="CA",IFERROR(VLOOKUP(J26,'Country Codes'!$E:$E,1,0)=J26,"Canada State Code Error"),IF(L26="BR",IFERROR(VLOOKUP(J26,'Country Codes'!$H:$H,1,0)=J26,"Brazil State Code Error"),IF(L26="AU",IFERROR(VLOOKUP(J26,'Country Codes'!$K:$K,1,0)=J26,"Australia State Code Error"),""))))=TRUE,"",IF(L26="US",IFERROR(VLOOKUP(J26,'Country Codes'!$B:$B,1,0)=J26,"US State Code Error"),IF(L26="CA",IFERROR(VLOOKUP(J26,'Country Codes'!$E:$E,1,0)=J26,"Canada State Code Error"),IF(L26="BR",IFERROR(VLOOKUP(J26,'Country Codes'!$H:$H,1,0)=J26,"Brazil State Code Error"),IF(L26="AU",IFERROR(VLOOKUP(J26,'Country Codes'!$K:$K,1,0)=J26,"Australia State Code Error"),"")))))</f>
        <v/>
      </c>
      <c r="AB26" s="2" t="str">
        <f t="shared" si="23"/>
        <v/>
      </c>
      <c r="AC26" s="2" t="str" cm="1">
        <f t="array" ref="AC26">IFERROR(_xlfn.IFS(IF(AND(LEN(I26)=0,ISBLANK(I26)=FALSE),"",ISNUMBER(SEARCH(I26,H26))),"City/Postal Code/Country Found in Address",IF(AND(LEN(K26)=0,ISBLANK(K26)=FALSE),"",ISNUMBER(SEARCH(K26,H26))),"City/Postal Code/Country Found in Address",IF(AND(LEN(L26)=0,ISBLANK(L26)=FALSE),"",ISNUMBER(SEARCH(", "&amp;L26,H26))),"City/Postal Code/Country Found in Address",IF(AND(LEN(J26)=0,ISBLANK(J26)=FALSE),"",ISNUMBER(SEARCH(", "&amp;J26,H26))),"City/Postal Code/Country Found in Address",IF(AND(LEN(L26)=0,ISBLANK(L26)=FALSE),"",ISNUMBER(SEARCH(","&amp;L26,H26))),"City/Postal Code/Country Found in Address",IF(AND(LEN(J26)=0,ISBLANK(J26)=FALSE),"",ISNUMBER(SEARCH(","&amp;J26,H26))),"City/Postal Code/Country Found in Address"),"")</f>
        <v/>
      </c>
      <c r="AD26" s="2" t="str">
        <f t="shared" si="24"/>
        <v/>
      </c>
      <c r="AE26" s="2" t="str" cm="1">
        <f t="array" ref="AE26">IFERROR(IF(VLOOKUP(LEFT(M26,MIN(SEARCH({1,2,3,4,5,6,7,8,9,0},M26&amp;{1,2,3,4,5,6,7,8,9,0}))-1),'Country Codes'!$N:$N,1,0)&gt;0,"PO Number may be incorrect",""),"")</f>
        <v/>
      </c>
      <c r="AF26" s="2" t="str">
        <f t="shared" si="25"/>
        <v/>
      </c>
      <c r="AG26" s="2" t="str">
        <f t="shared" si="26"/>
        <v/>
      </c>
      <c r="AH26" s="2" t="str">
        <f t="shared" si="27"/>
        <v/>
      </c>
      <c r="AI26" s="2" t="str" cm="1">
        <f t="array" ref="AI26">IF(G26="","",_xlfn.IFNA(_xlfn.IFS(L26=VLOOKUP(L26,'Country Codes'!$M:$M,1,0)=TRUE,""),"Please check the country code"))</f>
        <v/>
      </c>
      <c r="AJ26" s="2" t="str">
        <f t="shared" si="11"/>
        <v/>
      </c>
      <c r="AK26" s="2"/>
      <c r="AM26" s="43">
        <f t="shared" si="12"/>
        <v>0</v>
      </c>
      <c r="AN26" s="43">
        <f t="shared" si="13"/>
        <v>0</v>
      </c>
      <c r="AO26" s="43">
        <f t="shared" si="14"/>
        <v>0</v>
      </c>
      <c r="AP26" s="43">
        <f t="shared" si="15"/>
        <v>0</v>
      </c>
      <c r="AQ26" s="43">
        <f t="shared" si="16"/>
        <v>0</v>
      </c>
    </row>
    <row r="27" spans="1:43" ht="15.75" x14ac:dyDescent="0.25">
      <c r="A27" s="16" t="s">
        <v>465</v>
      </c>
      <c r="B27" s="11" t="s">
        <v>483</v>
      </c>
      <c r="C27" s="11" t="s">
        <v>11</v>
      </c>
      <c r="D27" s="11" t="s">
        <v>489</v>
      </c>
      <c r="E27" s="11" t="s">
        <v>490</v>
      </c>
      <c r="F27" s="11" t="s">
        <v>540</v>
      </c>
      <c r="G27" s="11" t="s">
        <v>503</v>
      </c>
      <c r="H27" s="11" t="s">
        <v>545</v>
      </c>
      <c r="I27" s="11" t="s">
        <v>458</v>
      </c>
      <c r="J27" s="11" t="s">
        <v>47</v>
      </c>
      <c r="K27" s="11" t="s">
        <v>466</v>
      </c>
      <c r="L27" s="11" t="s">
        <v>33</v>
      </c>
      <c r="M27" s="11" t="s">
        <v>30</v>
      </c>
      <c r="N27" s="11" t="s">
        <v>30</v>
      </c>
      <c r="O27" s="11" t="s">
        <v>516</v>
      </c>
      <c r="P27" s="11" t="s">
        <v>30</v>
      </c>
      <c r="Q27" s="7"/>
      <c r="R27" s="2" t="str">
        <f t="shared" si="17"/>
        <v>Unique Record</v>
      </c>
      <c r="S27" s="2" t="str">
        <f t="shared" si="18"/>
        <v/>
      </c>
      <c r="T27" s="2" t="str">
        <f t="shared" si="19"/>
        <v/>
      </c>
      <c r="U27" s="2" t="str">
        <f t="shared" si="20"/>
        <v/>
      </c>
      <c r="V27" s="2" t="str">
        <f t="shared" si="21"/>
        <v/>
      </c>
      <c r="W27" s="2" t="str">
        <f t="shared" si="22"/>
        <v/>
      </c>
      <c r="X27" s="2" t="str" cm="1">
        <f t="array" ref="X27">IF((SUMPRODUCT(--ISNUMBER(SEARCH({"!","@","#","$","%","^","&amp;","~*","(",")","_","+","=","{","}","[","]","|","\",":",";","'","""","&lt;","&gt;",",",".","~?","/","~~","`"}, I27)))&gt;0)=TRUE,"Special Characters Found in City","")</f>
        <v/>
      </c>
      <c r="Y27" s="2" t="str" cm="1">
        <f t="array" ref="Y27">IF((SUMPRODUCT(--ISNUMBER(SEARCH({"!","@","#","$","%","^","~*","(",")","_","+","=","{","}","[","]","|","\",":",";","'","""","&lt;","&gt;","~?","/","~~","`"},F27)))&gt;0)=TRUE,"Special Characters Found in Account field","")</f>
        <v/>
      </c>
      <c r="Z27" s="2" t="str" cm="1">
        <f t="array" ref="Z27">IF(SUM(--ISNUMBER(SEARCH({1,2,3,4,5,6,7,8,9,0},MID(H27,(SEARCH(" E ",H27)-1),1))))+SUM(--ISNUMBER(SEARCH({1,2,3,4,5,6,7,8,9,0},MID(H27,(SEARCH(" E ",H27)+3),1))))=2,"",IF(SUM(--ISNUMBER(SEARCH({"Parte E","Apoquindo N"},H27)))&gt;0,"",IF(OR(RIGHT(H27,3)=" NE",RIGHT(H27,3)=" NW",RIGHT(H27,3)=" SW",RIGHT(H27,3)=" SE",RIGHT(H27,2)=" N",RIGHT(H27,2)=" E",RIGHT(H27,2)=" W",RIGHT(H27,2)=" S",LEFT(H27,3)="NE ",LEFT(H27,3)="NW ",LEFT(H27,3)="SW ",LEFT(H27,3)="SE ",LEFT(H27,2)="N ",LEFT(H27,2)="E ",LEFT(H27,2)="W ",LEFT(H27,2)="S "),"Directional Check",IF(SUM(--ISNUMBER(SEARCH({" N "," E "," W "," S "," NE "," NW "," SW "," SE ","N.E","N.W","S.W","S.E","E.","N.","S.","W."},H27)))&gt;0,"Directional Check",IF(SUM(--ISNUMBER(SEARCH({1,2,3,4,5,6,7,8,9,0},MID(H27,(SEARCH("nd ",H27)-1),1))))+SUM(--ISNUMBER(SEARCH({1,2,3,4,5,6,7,8,9,0},MID(H27,(SEARCH("rd ",H27)-1),1)))+SUM(--ISNUMBER(SEARCH({1,2,3,4,5,6,7,8,9,0},MID(H27,(SEARCH("st ",H27)-1),1))))+SUM(--ISNUMBER(SEARCH({1,2,3,4,5,6,7,8,9,0},MID(H27,(SEARCH("th ",H27)-1),1)))))&gt;0,"","")))))</f>
        <v/>
      </c>
      <c r="AA27" s="2" t="str">
        <f>IF(IF(L27="US",IFERROR(VLOOKUP(J27,'Country Codes'!$B:$B,1,0)=J27,"US State Code Error"),IF(L27="CA",IFERROR(VLOOKUP(J27,'Country Codes'!$E:$E,1,0)=J27,"Canada State Code Error"),IF(L27="BR",IFERROR(VLOOKUP(J27,'Country Codes'!$H:$H,1,0)=J27,"Brazil State Code Error"),IF(L27="AU",IFERROR(VLOOKUP(J27,'Country Codes'!$K:$K,1,0)=J27,"Australia State Code Error"),""))))=TRUE,"",IF(L27="US",IFERROR(VLOOKUP(J27,'Country Codes'!$B:$B,1,0)=J27,"US State Code Error"),IF(L27="CA",IFERROR(VLOOKUP(J27,'Country Codes'!$E:$E,1,0)=J27,"Canada State Code Error"),IF(L27="BR",IFERROR(VLOOKUP(J27,'Country Codes'!$H:$H,1,0)=J27,"Brazil State Code Error"),IF(L27="AU",IFERROR(VLOOKUP(J27,'Country Codes'!$K:$K,1,0)=J27,"Australia State Code Error"),"")))))</f>
        <v/>
      </c>
      <c r="AB27" s="2" t="str">
        <f t="shared" si="23"/>
        <v/>
      </c>
      <c r="AC27" s="2" t="str" cm="1">
        <f t="array" ref="AC27">IFERROR(_xlfn.IFS(IF(AND(LEN(I27)=0,ISBLANK(I27)=FALSE),"",ISNUMBER(SEARCH(I27,H27))),"City/Postal Code/Country Found in Address",IF(AND(LEN(K27)=0,ISBLANK(K27)=FALSE),"",ISNUMBER(SEARCH(K27,H27))),"City/Postal Code/Country Found in Address",IF(AND(LEN(L27)=0,ISBLANK(L27)=FALSE),"",ISNUMBER(SEARCH(", "&amp;L27,H27))),"City/Postal Code/Country Found in Address",IF(AND(LEN(J27)=0,ISBLANK(J27)=FALSE),"",ISNUMBER(SEARCH(", "&amp;J27,H27))),"City/Postal Code/Country Found in Address",IF(AND(LEN(L27)=0,ISBLANK(L27)=FALSE),"",ISNUMBER(SEARCH(","&amp;L27,H27))),"City/Postal Code/Country Found in Address",IF(AND(LEN(J27)=0,ISBLANK(J27)=FALSE),"",ISNUMBER(SEARCH(","&amp;J27,H27))),"City/Postal Code/Country Found in Address"),"")</f>
        <v/>
      </c>
      <c r="AD27" s="2" t="str">
        <f t="shared" si="24"/>
        <v/>
      </c>
      <c r="AE27" s="2" t="str" cm="1">
        <f t="array" ref="AE27">IFERROR(IF(VLOOKUP(LEFT(M27,MIN(SEARCH({1,2,3,4,5,6,7,8,9,0},M27&amp;{1,2,3,4,5,6,7,8,9,0}))-1),'Country Codes'!$N:$N,1,0)&gt;0,"PO Number may be incorrect",""),"")</f>
        <v/>
      </c>
      <c r="AF27" s="2" t="str">
        <f t="shared" si="25"/>
        <v/>
      </c>
      <c r="AG27" s="2" t="str">
        <f t="shared" si="26"/>
        <v/>
      </c>
      <c r="AH27" s="2" t="str">
        <f t="shared" si="27"/>
        <v/>
      </c>
      <c r="AI27" s="2" t="str" cm="1">
        <f t="array" ref="AI27">IF(G27="","",_xlfn.IFNA(_xlfn.IFS(L27=VLOOKUP(L27,'Country Codes'!$M:$M,1,0)=TRUE,""),"Please check the country code"))</f>
        <v/>
      </c>
      <c r="AJ27" s="2" t="str">
        <f t="shared" si="11"/>
        <v/>
      </c>
      <c r="AK27" s="2"/>
      <c r="AM27" s="43">
        <f t="shared" si="12"/>
        <v>0</v>
      </c>
      <c r="AN27" s="43">
        <f t="shared" si="13"/>
        <v>0</v>
      </c>
      <c r="AO27" s="43">
        <f t="shared" si="14"/>
        <v>0</v>
      </c>
      <c r="AP27" s="43">
        <f t="shared" si="15"/>
        <v>0</v>
      </c>
      <c r="AQ27" s="43">
        <f t="shared" si="16"/>
        <v>0</v>
      </c>
    </row>
    <row r="28" spans="1:43" ht="15.75" x14ac:dyDescent="0.25">
      <c r="A28" s="16" t="s">
        <v>467</v>
      </c>
      <c r="B28" s="11" t="s">
        <v>482</v>
      </c>
      <c r="C28" s="11" t="s">
        <v>11</v>
      </c>
      <c r="D28" s="11" t="s">
        <v>491</v>
      </c>
      <c r="E28" s="11" t="s">
        <v>492</v>
      </c>
      <c r="F28" s="11" t="s">
        <v>497</v>
      </c>
      <c r="G28" s="11" t="s">
        <v>504</v>
      </c>
      <c r="H28" s="11" t="s">
        <v>510</v>
      </c>
      <c r="I28" s="11" t="s">
        <v>468</v>
      </c>
      <c r="J28" s="11" t="s">
        <v>161</v>
      </c>
      <c r="K28" s="11" t="s">
        <v>469</v>
      </c>
      <c r="L28" s="11" t="s">
        <v>57</v>
      </c>
      <c r="M28" s="11">
        <v>5600004</v>
      </c>
      <c r="N28" s="11" t="s">
        <v>30</v>
      </c>
      <c r="O28" s="11" t="s">
        <v>517</v>
      </c>
      <c r="P28" s="11" t="s">
        <v>30</v>
      </c>
      <c r="Q28" s="7"/>
      <c r="R28" s="2" t="str">
        <f t="shared" si="17"/>
        <v>Unique Record</v>
      </c>
      <c r="S28" s="2" t="str">
        <f t="shared" si="18"/>
        <v/>
      </c>
      <c r="T28" s="2" t="str">
        <f t="shared" si="19"/>
        <v/>
      </c>
      <c r="U28" s="2" t="str">
        <f t="shared" si="20"/>
        <v/>
      </c>
      <c r="V28" s="2" t="str">
        <f t="shared" si="21"/>
        <v/>
      </c>
      <c r="W28" s="2" t="str">
        <f t="shared" si="22"/>
        <v/>
      </c>
      <c r="X28" s="2" t="str" cm="1">
        <f t="array" ref="X28">IF((SUMPRODUCT(--ISNUMBER(SEARCH({"!","@","#","$","%","^","&amp;","~*","(",")","_","+","=","{","}","[","]","|","\",":",";","'","""","&lt;","&gt;",",",".","~?","/","~~","`"}, I28)))&gt;0)=TRUE,"Special Characters Found in City","")</f>
        <v/>
      </c>
      <c r="Y28" s="2" t="str" cm="1">
        <f t="array" ref="Y28">IF((SUMPRODUCT(--ISNUMBER(SEARCH({"!","@","#","$","%","^","~*","(",")","_","+","=","{","}","[","]","|","\",":",";","'","""","&lt;","&gt;","~?","/","~~","`"},F28)))&gt;0)=TRUE,"Special Characters Found in Account field","")</f>
        <v/>
      </c>
      <c r="Z28" s="2" t="str" cm="1">
        <f t="array" ref="Z28">IF(SUM(--ISNUMBER(SEARCH({1,2,3,4,5,6,7,8,9,0},MID(H28,(SEARCH(" E ",H28)-1),1))))+SUM(--ISNUMBER(SEARCH({1,2,3,4,5,6,7,8,9,0},MID(H28,(SEARCH(" E ",H28)+3),1))))=2,"",IF(SUM(--ISNUMBER(SEARCH({"Parte E","Apoquindo N"},H28)))&gt;0,"",IF(OR(RIGHT(H28,3)=" NE",RIGHT(H28,3)=" NW",RIGHT(H28,3)=" SW",RIGHT(H28,3)=" SE",RIGHT(H28,2)=" N",RIGHT(H28,2)=" E",RIGHT(H28,2)=" W",RIGHT(H28,2)=" S",LEFT(H28,3)="NE ",LEFT(H28,3)="NW ",LEFT(H28,3)="SW ",LEFT(H28,3)="SE ",LEFT(H28,2)="N ",LEFT(H28,2)="E ",LEFT(H28,2)="W ",LEFT(H28,2)="S "),"Directional Check",IF(SUM(--ISNUMBER(SEARCH({" N "," E "," W "," S "," NE "," NW "," SW "," SE ","N.E","N.W","S.W","S.E","E.","N.","S.","W."},H28)))&gt;0,"Directional Check",IF(SUM(--ISNUMBER(SEARCH({1,2,3,4,5,6,7,8,9,0},MID(H28,(SEARCH("nd ",H28)-1),1))))+SUM(--ISNUMBER(SEARCH({1,2,3,4,5,6,7,8,9,0},MID(H28,(SEARCH("rd ",H28)-1),1)))+SUM(--ISNUMBER(SEARCH({1,2,3,4,5,6,7,8,9,0},MID(H28,(SEARCH("st ",H28)-1),1))))+SUM(--ISNUMBER(SEARCH({1,2,3,4,5,6,7,8,9,0},MID(H28,(SEARCH("th ",H28)-1),1)))))&gt;0,"","")))))</f>
        <v/>
      </c>
      <c r="AA28" s="2" t="str">
        <f>IF(IF(L28="US",IFERROR(VLOOKUP(J28,'Country Codes'!$B:$B,1,0)=J28,"US State Code Error"),IF(L28="CA",IFERROR(VLOOKUP(J28,'Country Codes'!$E:$E,1,0)=J28,"Canada State Code Error"),IF(L28="BR",IFERROR(VLOOKUP(J28,'Country Codes'!$H:$H,1,0)=J28,"Brazil State Code Error"),IF(L28="AU",IFERROR(VLOOKUP(J28,'Country Codes'!$K:$K,1,0)=J28,"Australia State Code Error"),""))))=TRUE,"",IF(L28="US",IFERROR(VLOOKUP(J28,'Country Codes'!$B:$B,1,0)=J28,"US State Code Error"),IF(L28="CA",IFERROR(VLOOKUP(J28,'Country Codes'!$E:$E,1,0)=J28,"Canada State Code Error"),IF(L28="BR",IFERROR(VLOOKUP(J28,'Country Codes'!$H:$H,1,0)=J28,"Brazil State Code Error"),IF(L28="AU",IFERROR(VLOOKUP(J28,'Country Codes'!$K:$K,1,0)=J28,"Australia State Code Error"),"")))))</f>
        <v/>
      </c>
      <c r="AB28" s="2" t="str">
        <f t="shared" si="23"/>
        <v/>
      </c>
      <c r="AC28" s="2" t="str" cm="1">
        <f t="array" ref="AC28">IFERROR(_xlfn.IFS(IF(AND(LEN(I28)=0,ISBLANK(I28)=FALSE),"",ISNUMBER(SEARCH(I28,H28))),"City/Postal Code/Country Found in Address",IF(AND(LEN(K28)=0,ISBLANK(K28)=FALSE),"",ISNUMBER(SEARCH(K28,H28))),"City/Postal Code/Country Found in Address",IF(AND(LEN(L28)=0,ISBLANK(L28)=FALSE),"",ISNUMBER(SEARCH(", "&amp;L28,H28))),"City/Postal Code/Country Found in Address",IF(AND(LEN(J28)=0,ISBLANK(J28)=FALSE),"",ISNUMBER(SEARCH(", "&amp;J28,H28))),"City/Postal Code/Country Found in Address",IF(AND(LEN(L28)=0,ISBLANK(L28)=FALSE),"",ISNUMBER(SEARCH(","&amp;L28,H28))),"City/Postal Code/Country Found in Address",IF(AND(LEN(J28)=0,ISBLANK(J28)=FALSE),"",ISNUMBER(SEARCH(","&amp;J28,H28))),"City/Postal Code/Country Found in Address"),"")</f>
        <v/>
      </c>
      <c r="AD28" s="2" t="str">
        <f t="shared" si="24"/>
        <v/>
      </c>
      <c r="AE28" s="2" t="str" cm="1">
        <f t="array" ref="AE28">IFERROR(IF(VLOOKUP(LEFT(M28,MIN(SEARCH({1,2,3,4,5,6,7,8,9,0},M28&amp;{1,2,3,4,5,6,7,8,9,0}))-1),'Country Codes'!$N:$N,1,0)&gt;0,"PO Number may be incorrect",""),"")</f>
        <v/>
      </c>
      <c r="AF28" s="2" t="str">
        <f t="shared" si="25"/>
        <v/>
      </c>
      <c r="AG28" s="2" t="str">
        <f t="shared" si="26"/>
        <v/>
      </c>
      <c r="AH28" s="2" t="str">
        <f t="shared" si="27"/>
        <v/>
      </c>
      <c r="AI28" s="2" t="str" cm="1">
        <f t="array" ref="AI28">IF(G28="","",_xlfn.IFNA(_xlfn.IFS(L28=VLOOKUP(L28,'Country Codes'!$M:$M,1,0)=TRUE,""),"Please check the country code"))</f>
        <v/>
      </c>
      <c r="AJ28" s="2" t="str">
        <f t="shared" si="11"/>
        <v/>
      </c>
      <c r="AK28" s="2"/>
      <c r="AM28" s="43">
        <f t="shared" si="12"/>
        <v>0</v>
      </c>
      <c r="AN28" s="43">
        <f t="shared" si="13"/>
        <v>0</v>
      </c>
      <c r="AO28" s="43">
        <f t="shared" si="14"/>
        <v>0</v>
      </c>
      <c r="AP28" s="43">
        <f t="shared" si="15"/>
        <v>0</v>
      </c>
      <c r="AQ28" s="43">
        <f t="shared" si="16"/>
        <v>0</v>
      </c>
    </row>
    <row r="29" spans="1:43" ht="15.75" x14ac:dyDescent="0.25">
      <c r="A29" s="16" t="s">
        <v>470</v>
      </c>
      <c r="B29" s="11" t="s">
        <v>484</v>
      </c>
      <c r="C29" s="11" t="s">
        <v>9</v>
      </c>
      <c r="D29" s="11">
        <v>3587</v>
      </c>
      <c r="E29" s="11">
        <v>4490</v>
      </c>
      <c r="F29" s="11" t="s">
        <v>497</v>
      </c>
      <c r="G29" s="11" t="s">
        <v>504</v>
      </c>
      <c r="H29" s="11" t="s">
        <v>510</v>
      </c>
      <c r="I29" s="11" t="s">
        <v>468</v>
      </c>
      <c r="J29" s="11" t="s">
        <v>161</v>
      </c>
      <c r="K29" s="11" t="s">
        <v>469</v>
      </c>
      <c r="L29" s="11" t="s">
        <v>57</v>
      </c>
      <c r="M29" s="11">
        <v>5600004</v>
      </c>
      <c r="N29" s="11" t="s">
        <v>30</v>
      </c>
      <c r="O29" s="11" t="s">
        <v>517</v>
      </c>
      <c r="P29" s="11" t="s">
        <v>30</v>
      </c>
      <c r="Q29" s="7"/>
      <c r="R29" s="2" t="str">
        <f t="shared" si="17"/>
        <v/>
      </c>
      <c r="S29" s="2" t="str">
        <f t="shared" si="18"/>
        <v/>
      </c>
      <c r="T29" s="2" t="str">
        <f t="shared" si="19"/>
        <v/>
      </c>
      <c r="U29" s="2" t="str">
        <f t="shared" si="20"/>
        <v/>
      </c>
      <c r="V29" s="2" t="str">
        <f t="shared" si="21"/>
        <v/>
      </c>
      <c r="W29" s="2" t="str">
        <f t="shared" si="22"/>
        <v/>
      </c>
      <c r="X29" s="2" t="str" cm="1">
        <f t="array" ref="X29">IF((SUMPRODUCT(--ISNUMBER(SEARCH({"!","@","#","$","%","^","&amp;","~*","(",")","_","+","=","{","}","[","]","|","\",":",";","'","""","&lt;","&gt;",",",".","~?","/","~~","`"}, I29)))&gt;0)=TRUE,"Special Characters Found in City","")</f>
        <v/>
      </c>
      <c r="Y29" s="2" t="str" cm="1">
        <f t="array" ref="Y29">IF((SUMPRODUCT(--ISNUMBER(SEARCH({"!","@","#","$","%","^","~*","(",")","_","+","=","{","}","[","]","|","\",":",";","'","""","&lt;","&gt;","~?","/","~~","`"},F29)))&gt;0)=TRUE,"Special Characters Found in Account field","")</f>
        <v/>
      </c>
      <c r="Z29" s="2" t="str" cm="1">
        <f t="array" ref="Z29">IF(SUM(--ISNUMBER(SEARCH({1,2,3,4,5,6,7,8,9,0},MID(H29,(SEARCH(" E ",H29)-1),1))))+SUM(--ISNUMBER(SEARCH({1,2,3,4,5,6,7,8,9,0},MID(H29,(SEARCH(" E ",H29)+3),1))))=2,"",IF(SUM(--ISNUMBER(SEARCH({"Parte E","Apoquindo N"},H29)))&gt;0,"",IF(OR(RIGHT(H29,3)=" NE",RIGHT(H29,3)=" NW",RIGHT(H29,3)=" SW",RIGHT(H29,3)=" SE",RIGHT(H29,2)=" N",RIGHT(H29,2)=" E",RIGHT(H29,2)=" W",RIGHT(H29,2)=" S",LEFT(H29,3)="NE ",LEFT(H29,3)="NW ",LEFT(H29,3)="SW ",LEFT(H29,3)="SE ",LEFT(H29,2)="N ",LEFT(H29,2)="E ",LEFT(H29,2)="W ",LEFT(H29,2)="S "),"Directional Check",IF(SUM(--ISNUMBER(SEARCH({" N "," E "," W "," S "," NE "," NW "," SW "," SE ","N.E","N.W","S.W","S.E","E.","N.","S.","W."},H29)))&gt;0,"Directional Check",IF(SUM(--ISNUMBER(SEARCH({1,2,3,4,5,6,7,8,9,0},MID(H29,(SEARCH("nd ",H29)-1),1))))+SUM(--ISNUMBER(SEARCH({1,2,3,4,5,6,7,8,9,0},MID(H29,(SEARCH("rd ",H29)-1),1)))+SUM(--ISNUMBER(SEARCH({1,2,3,4,5,6,7,8,9,0},MID(H29,(SEARCH("st ",H29)-1),1))))+SUM(--ISNUMBER(SEARCH({1,2,3,4,5,6,7,8,9,0},MID(H29,(SEARCH("th ",H29)-1),1)))))&gt;0,"","")))))</f>
        <v/>
      </c>
      <c r="AA29" s="2" t="str">
        <f>IF(IF(L29="US",IFERROR(VLOOKUP(J29,'Country Codes'!$B:$B,1,0)=J29,"US State Code Error"),IF(L29="CA",IFERROR(VLOOKUP(J29,'Country Codes'!$E:$E,1,0)=J29,"Canada State Code Error"),IF(L29="BR",IFERROR(VLOOKUP(J29,'Country Codes'!$H:$H,1,0)=J29,"Brazil State Code Error"),IF(L29="AU",IFERROR(VLOOKUP(J29,'Country Codes'!$K:$K,1,0)=J29,"Australia State Code Error"),""))))=TRUE,"",IF(L29="US",IFERROR(VLOOKUP(J29,'Country Codes'!$B:$B,1,0)=J29,"US State Code Error"),IF(L29="CA",IFERROR(VLOOKUP(J29,'Country Codes'!$E:$E,1,0)=J29,"Canada State Code Error"),IF(L29="BR",IFERROR(VLOOKUP(J29,'Country Codes'!$H:$H,1,0)=J29,"Brazil State Code Error"),IF(L29="AU",IFERROR(VLOOKUP(J29,'Country Codes'!$K:$K,1,0)=J29,"Australia State Code Error"),"")))))</f>
        <v/>
      </c>
      <c r="AB29" s="2" t="str">
        <f t="shared" si="23"/>
        <v/>
      </c>
      <c r="AC29" s="2" t="str" cm="1">
        <f t="array" ref="AC29">IFERROR(_xlfn.IFS(IF(AND(LEN(I29)=0,ISBLANK(I29)=FALSE),"",ISNUMBER(SEARCH(I29,H29))),"City/Postal Code/Country Found in Address",IF(AND(LEN(K29)=0,ISBLANK(K29)=FALSE),"",ISNUMBER(SEARCH(K29,H29))),"City/Postal Code/Country Found in Address",IF(AND(LEN(L29)=0,ISBLANK(L29)=FALSE),"",ISNUMBER(SEARCH(", "&amp;L29,H29))),"City/Postal Code/Country Found in Address",IF(AND(LEN(J29)=0,ISBLANK(J29)=FALSE),"",ISNUMBER(SEARCH(", "&amp;J29,H29))),"City/Postal Code/Country Found in Address",IF(AND(LEN(L29)=0,ISBLANK(L29)=FALSE),"",ISNUMBER(SEARCH(","&amp;L29,H29))),"City/Postal Code/Country Found in Address",IF(AND(LEN(J29)=0,ISBLANK(J29)=FALSE),"",ISNUMBER(SEARCH(","&amp;J29,H29))),"City/Postal Code/Country Found in Address"),"")</f>
        <v/>
      </c>
      <c r="AD29" s="2" t="str">
        <f t="shared" si="24"/>
        <v/>
      </c>
      <c r="AE29" s="2" t="str" cm="1">
        <f t="array" ref="AE29">IFERROR(IF(VLOOKUP(LEFT(M29,MIN(SEARCH({1,2,3,4,5,6,7,8,9,0},M29&amp;{1,2,3,4,5,6,7,8,9,0}))-1),'Country Codes'!$N:$N,1,0)&gt;0,"PO Number may be incorrect",""),"")</f>
        <v/>
      </c>
      <c r="AF29" s="2" t="str">
        <f t="shared" si="25"/>
        <v/>
      </c>
      <c r="AG29" s="2" t="str">
        <f t="shared" si="26"/>
        <v/>
      </c>
      <c r="AH29" s="2" t="str">
        <f t="shared" si="27"/>
        <v/>
      </c>
      <c r="AI29" s="2" t="str" cm="1">
        <f t="array" ref="AI29">IF(G29="","",_xlfn.IFNA(_xlfn.IFS(L29=VLOOKUP(L29,'Country Codes'!$M:$M,1,0)=TRUE,""),"Please check the country code"))</f>
        <v/>
      </c>
      <c r="AJ29" s="2" t="str">
        <f t="shared" si="11"/>
        <v/>
      </c>
      <c r="AK29" s="2"/>
      <c r="AM29" s="43">
        <f t="shared" si="12"/>
        <v>0</v>
      </c>
      <c r="AN29" s="43">
        <f t="shared" si="13"/>
        <v>0</v>
      </c>
      <c r="AO29" s="43">
        <f t="shared" si="14"/>
        <v>0</v>
      </c>
      <c r="AP29" s="43">
        <f t="shared" si="15"/>
        <v>0</v>
      </c>
      <c r="AQ29" s="43">
        <f t="shared" si="16"/>
        <v>0</v>
      </c>
    </row>
    <row r="30" spans="1:43" ht="15.75" x14ac:dyDescent="0.25">
      <c r="A30" s="16" t="s">
        <v>471</v>
      </c>
      <c r="B30" s="11" t="s">
        <v>482</v>
      </c>
      <c r="C30" s="11" t="s">
        <v>11</v>
      </c>
      <c r="D30" s="11" t="s">
        <v>493</v>
      </c>
      <c r="E30" s="11" t="s">
        <v>494</v>
      </c>
      <c r="F30" s="11" t="s">
        <v>542</v>
      </c>
      <c r="G30" s="11" t="s">
        <v>505</v>
      </c>
      <c r="H30" s="11" t="s">
        <v>511</v>
      </c>
      <c r="I30" s="11" t="s">
        <v>457</v>
      </c>
      <c r="J30" s="11" t="s">
        <v>107</v>
      </c>
      <c r="K30" s="11" t="s">
        <v>472</v>
      </c>
      <c r="L30" s="11" t="s">
        <v>33</v>
      </c>
      <c r="M30" s="11" t="s">
        <v>30</v>
      </c>
      <c r="N30" s="11" t="s">
        <v>30</v>
      </c>
      <c r="O30" s="11" t="s">
        <v>518</v>
      </c>
      <c r="P30" s="11" t="s">
        <v>30</v>
      </c>
      <c r="Q30" s="7"/>
      <c r="R30" s="2" t="str">
        <f t="shared" si="17"/>
        <v>Unique Record</v>
      </c>
      <c r="S30" s="2" t="str">
        <f t="shared" si="18"/>
        <v/>
      </c>
      <c r="T30" s="2" t="str">
        <f t="shared" si="19"/>
        <v/>
      </c>
      <c r="U30" s="2" t="str">
        <f t="shared" si="20"/>
        <v/>
      </c>
      <c r="V30" s="2" t="str">
        <f t="shared" si="21"/>
        <v/>
      </c>
      <c r="W30" s="2" t="str">
        <f t="shared" si="22"/>
        <v/>
      </c>
      <c r="X30" s="2" t="str" cm="1">
        <f t="array" ref="X30">IF((SUMPRODUCT(--ISNUMBER(SEARCH({"!","@","#","$","%","^","&amp;","~*","(",")","_","+","=","{","}","[","]","|","\",":",";","'","""","&lt;","&gt;",",",".","~?","/","~~","`"}, I30)))&gt;0)=TRUE,"Special Characters Found in City","")</f>
        <v/>
      </c>
      <c r="Y30" s="2" t="str" cm="1">
        <f t="array" ref="Y30">IF((SUMPRODUCT(--ISNUMBER(SEARCH({"!","@","#","$","%","^","~*","(",")","_","+","=","{","}","[","]","|","\",":",";","'","""","&lt;","&gt;","~?","/","~~","`"},F30)))&gt;0)=TRUE,"Special Characters Found in Account field","")</f>
        <v/>
      </c>
      <c r="Z30" s="2" t="str" cm="1">
        <f t="array" ref="Z30">IF(SUM(--ISNUMBER(SEARCH({1,2,3,4,5,6,7,8,9,0},MID(H30,(SEARCH(" E ",H30)-1),1))))+SUM(--ISNUMBER(SEARCH({1,2,3,4,5,6,7,8,9,0},MID(H30,(SEARCH(" E ",H30)+3),1))))=2,"",IF(SUM(--ISNUMBER(SEARCH({"Parte E","Apoquindo N"},H30)))&gt;0,"",IF(OR(RIGHT(H30,3)=" NE",RIGHT(H30,3)=" NW",RIGHT(H30,3)=" SW",RIGHT(H30,3)=" SE",RIGHT(H30,2)=" N",RIGHT(H30,2)=" E",RIGHT(H30,2)=" W",RIGHT(H30,2)=" S",LEFT(H30,3)="NE ",LEFT(H30,3)="NW ",LEFT(H30,3)="SW ",LEFT(H30,3)="SE ",LEFT(H30,2)="N ",LEFT(H30,2)="E ",LEFT(H30,2)="W ",LEFT(H30,2)="S "),"Directional Check",IF(SUM(--ISNUMBER(SEARCH({" N "," E "," W "," S "," NE "," NW "," SW "," SE ","N.E","N.W","S.W","S.E","E.","N.","S.","W."},H30)))&gt;0,"Directional Check",IF(SUM(--ISNUMBER(SEARCH({1,2,3,4,5,6,7,8,9,0},MID(H30,(SEARCH("nd ",H30)-1),1))))+SUM(--ISNUMBER(SEARCH({1,2,3,4,5,6,7,8,9,0},MID(H30,(SEARCH("rd ",H30)-1),1)))+SUM(--ISNUMBER(SEARCH({1,2,3,4,5,6,7,8,9,0},MID(H30,(SEARCH("st ",H30)-1),1))))+SUM(--ISNUMBER(SEARCH({1,2,3,4,5,6,7,8,9,0},MID(H30,(SEARCH("th ",H30)-1),1)))))&gt;0,"","")))))</f>
        <v/>
      </c>
      <c r="AA30" s="2" t="str">
        <f>IF(IF(L30="US",IFERROR(VLOOKUP(J30,'Country Codes'!$B:$B,1,0)=J30,"US State Code Error"),IF(L30="CA",IFERROR(VLOOKUP(J30,'Country Codes'!$E:$E,1,0)=J30,"Canada State Code Error"),IF(L30="BR",IFERROR(VLOOKUP(J30,'Country Codes'!$H:$H,1,0)=J30,"Brazil State Code Error"),IF(L30="AU",IFERROR(VLOOKUP(J30,'Country Codes'!$K:$K,1,0)=J30,"Australia State Code Error"),""))))=TRUE,"",IF(L30="US",IFERROR(VLOOKUP(J30,'Country Codes'!$B:$B,1,0)=J30,"US State Code Error"),IF(L30="CA",IFERROR(VLOOKUP(J30,'Country Codes'!$E:$E,1,0)=J30,"Canada State Code Error"),IF(L30="BR",IFERROR(VLOOKUP(J30,'Country Codes'!$H:$H,1,0)=J30,"Brazil State Code Error"),IF(L30="AU",IFERROR(VLOOKUP(J30,'Country Codes'!$K:$K,1,0)=J30,"Australia State Code Error"),"")))))</f>
        <v/>
      </c>
      <c r="AB30" s="2" t="str">
        <f t="shared" si="23"/>
        <v/>
      </c>
      <c r="AC30" s="2" t="str" cm="1">
        <f t="array" ref="AC30">IFERROR(_xlfn.IFS(IF(AND(LEN(I30)=0,ISBLANK(I30)=FALSE),"",ISNUMBER(SEARCH(I30,H30))),"City/Postal Code/Country Found in Address",IF(AND(LEN(K30)=0,ISBLANK(K30)=FALSE),"",ISNUMBER(SEARCH(K30,H30))),"City/Postal Code/Country Found in Address",IF(AND(LEN(L30)=0,ISBLANK(L30)=FALSE),"",ISNUMBER(SEARCH(", "&amp;L30,H30))),"City/Postal Code/Country Found in Address",IF(AND(LEN(J30)=0,ISBLANK(J30)=FALSE),"",ISNUMBER(SEARCH(", "&amp;J30,H30))),"City/Postal Code/Country Found in Address",IF(AND(LEN(L30)=0,ISBLANK(L30)=FALSE),"",ISNUMBER(SEARCH(","&amp;L30,H30))),"City/Postal Code/Country Found in Address",IF(AND(LEN(J30)=0,ISBLANK(J30)=FALSE),"",ISNUMBER(SEARCH(","&amp;J30,H30))),"City/Postal Code/Country Found in Address"),"")</f>
        <v/>
      </c>
      <c r="AD30" s="2" t="str">
        <f t="shared" si="24"/>
        <v/>
      </c>
      <c r="AE30" s="2" t="str" cm="1">
        <f t="array" ref="AE30">IFERROR(IF(VLOOKUP(LEFT(M30,MIN(SEARCH({1,2,3,4,5,6,7,8,9,0},M30&amp;{1,2,3,4,5,6,7,8,9,0}))-1),'Country Codes'!$N:$N,1,0)&gt;0,"PO Number may be incorrect",""),"")</f>
        <v/>
      </c>
      <c r="AF30" s="2" t="str">
        <f t="shared" si="25"/>
        <v/>
      </c>
      <c r="AG30" s="2" t="str">
        <f t="shared" si="26"/>
        <v/>
      </c>
      <c r="AH30" s="2" t="str">
        <f t="shared" si="27"/>
        <v/>
      </c>
      <c r="AI30" s="2" t="str" cm="1">
        <f t="array" ref="AI30">IF(G30="","",_xlfn.IFNA(_xlfn.IFS(L30=VLOOKUP(L30,'Country Codes'!$M:$M,1,0)=TRUE,""),"Please check the country code"))</f>
        <v/>
      </c>
      <c r="AJ30" s="2" t="str">
        <f t="shared" si="11"/>
        <v/>
      </c>
      <c r="AK30" s="2"/>
      <c r="AM30" s="43">
        <f t="shared" si="12"/>
        <v>0</v>
      </c>
      <c r="AN30" s="43">
        <f t="shared" si="13"/>
        <v>0</v>
      </c>
      <c r="AO30" s="43">
        <f t="shared" si="14"/>
        <v>0</v>
      </c>
      <c r="AP30" s="43">
        <f t="shared" si="15"/>
        <v>0</v>
      </c>
      <c r="AQ30" s="43">
        <f t="shared" si="16"/>
        <v>0</v>
      </c>
    </row>
    <row r="31" spans="1:43" ht="15.75" x14ac:dyDescent="0.25">
      <c r="A31" s="16" t="s">
        <v>455</v>
      </c>
      <c r="B31" s="11" t="s">
        <v>482</v>
      </c>
      <c r="C31" s="11" t="s">
        <v>11</v>
      </c>
      <c r="D31" s="11" t="s">
        <v>494</v>
      </c>
      <c r="E31" s="11"/>
      <c r="F31" s="11" t="s">
        <v>498</v>
      </c>
      <c r="G31" s="11" t="s">
        <v>506</v>
      </c>
      <c r="H31" s="11" t="s">
        <v>541</v>
      </c>
      <c r="I31" s="11" t="s">
        <v>453</v>
      </c>
      <c r="J31" s="11" t="s">
        <v>30</v>
      </c>
      <c r="K31" s="11" t="s">
        <v>456</v>
      </c>
      <c r="L31" s="11" t="s">
        <v>46</v>
      </c>
      <c r="M31" s="11" t="s">
        <v>515</v>
      </c>
      <c r="N31" s="11"/>
      <c r="O31" s="11" t="s">
        <v>30</v>
      </c>
      <c r="P31" s="11" t="s">
        <v>517</v>
      </c>
      <c r="Q31" s="7"/>
      <c r="R31" s="2" t="str">
        <f t="shared" si="17"/>
        <v>Unique Record</v>
      </c>
      <c r="S31" s="2" t="str">
        <f t="shared" si="18"/>
        <v/>
      </c>
      <c r="T31" s="2" t="str">
        <f t="shared" si="19"/>
        <v/>
      </c>
      <c r="U31" s="2" t="str">
        <f t="shared" si="20"/>
        <v/>
      </c>
      <c r="V31" s="2" t="str">
        <f t="shared" si="21"/>
        <v/>
      </c>
      <c r="W31" s="2" t="str">
        <f t="shared" si="22"/>
        <v/>
      </c>
      <c r="X31" s="2" t="str" cm="1">
        <f t="array" ref="X31">IF((SUMPRODUCT(--ISNUMBER(SEARCH({"!","@","#","$","%","^","&amp;","~*","(",")","_","+","=","{","}","[","]","|","\",":",";","'","""","&lt;","&gt;",",",".","~?","/","~~","`"}, I31)))&gt;0)=TRUE,"Special Characters Found in City","")</f>
        <v/>
      </c>
      <c r="Y31" s="2" t="str" cm="1">
        <f t="array" ref="Y31">IF((SUMPRODUCT(--ISNUMBER(SEARCH({"!","@","#","$","%","^","~*","(",")","_","+","=","{","}","[","]","|","\",":",";","'","""","&lt;","&gt;","~?","/","~~","`"},F31)))&gt;0)=TRUE,"Special Characters Found in Account field","")</f>
        <v/>
      </c>
      <c r="Z31" s="2" t="str" cm="1">
        <f t="array" ref="Z31">IF(SUM(--ISNUMBER(SEARCH({1,2,3,4,5,6,7,8,9,0},MID(H31,(SEARCH(" E ",H31)-1),1))))+SUM(--ISNUMBER(SEARCH({1,2,3,4,5,6,7,8,9,0},MID(H31,(SEARCH(" E ",H31)+3),1))))=2,"",IF(SUM(--ISNUMBER(SEARCH({"Parte E","Apoquindo N"},H31)))&gt;0,"",IF(OR(RIGHT(H31,3)=" NE",RIGHT(H31,3)=" NW",RIGHT(H31,3)=" SW",RIGHT(H31,3)=" SE",RIGHT(H31,2)=" N",RIGHT(H31,2)=" E",RIGHT(H31,2)=" W",RIGHT(H31,2)=" S",LEFT(H31,3)="NE ",LEFT(H31,3)="NW ",LEFT(H31,3)="SW ",LEFT(H31,3)="SE ",LEFT(H31,2)="N ",LEFT(H31,2)="E ",LEFT(H31,2)="W ",LEFT(H31,2)="S "),"Directional Check",IF(SUM(--ISNUMBER(SEARCH({" N "," E "," W "," S "," NE "," NW "," SW "," SE ","N.E","N.W","S.W","S.E","E.","N.","S.","W."},H31)))&gt;0,"Directional Check",IF(SUM(--ISNUMBER(SEARCH({1,2,3,4,5,6,7,8,9,0},MID(H31,(SEARCH("nd ",H31)-1),1))))+SUM(--ISNUMBER(SEARCH({1,2,3,4,5,6,7,8,9,0},MID(H31,(SEARCH("rd ",H31)-1),1)))+SUM(--ISNUMBER(SEARCH({1,2,3,4,5,6,7,8,9,0},MID(H31,(SEARCH("st ",H31)-1),1))))+SUM(--ISNUMBER(SEARCH({1,2,3,4,5,6,7,8,9,0},MID(H31,(SEARCH("th ",H31)-1),1)))))&gt;0,"","")))))</f>
        <v/>
      </c>
      <c r="AA31" s="2" t="str">
        <f>IF(IF(L31="US",IFERROR(VLOOKUP(J31,'Country Codes'!$B:$B,1,0)=J31,"US State Code Error"),IF(L31="CA",IFERROR(VLOOKUP(J31,'Country Codes'!$E:$E,1,0)=J31,"Canada State Code Error"),IF(L31="BR",IFERROR(VLOOKUP(J31,'Country Codes'!$H:$H,1,0)=J31,"Brazil State Code Error"),IF(L31="AU",IFERROR(VLOOKUP(J31,'Country Codes'!$K:$K,1,0)=J31,"Australia State Code Error"),""))))=TRUE,"",IF(L31="US",IFERROR(VLOOKUP(J31,'Country Codes'!$B:$B,1,0)=J31,"US State Code Error"),IF(L31="CA",IFERROR(VLOOKUP(J31,'Country Codes'!$E:$E,1,0)=J31,"Canada State Code Error"),IF(L31="BR",IFERROR(VLOOKUP(J31,'Country Codes'!$H:$H,1,0)=J31,"Brazil State Code Error"),IF(L31="AU",IFERROR(VLOOKUP(J31,'Country Codes'!$K:$K,1,0)=J31,"Australia State Code Error"),"")))))</f>
        <v/>
      </c>
      <c r="AB31" s="2" t="str">
        <f t="shared" si="23"/>
        <v/>
      </c>
      <c r="AC31" s="2" t="str" cm="1">
        <f t="array" ref="AC31">IFERROR(_xlfn.IFS(IF(AND(LEN(I31)=0,ISBLANK(I31)=FALSE),"",ISNUMBER(SEARCH(I31,H31))),"City/Postal Code/Country Found in Address",IF(AND(LEN(K31)=0,ISBLANK(K31)=FALSE),"",ISNUMBER(SEARCH(K31,H31))),"City/Postal Code/Country Found in Address",IF(AND(LEN(L31)=0,ISBLANK(L31)=FALSE),"",ISNUMBER(SEARCH(", "&amp;L31,H31))),"City/Postal Code/Country Found in Address",IF(AND(LEN(J31)=0,ISBLANK(J31)=FALSE),"",ISNUMBER(SEARCH(", "&amp;J31,H31))),"City/Postal Code/Country Found in Address",IF(AND(LEN(L31)=0,ISBLANK(L31)=FALSE),"",ISNUMBER(SEARCH(","&amp;L31,H31))),"City/Postal Code/Country Found in Address",IF(AND(LEN(J31)=0,ISBLANK(J31)=FALSE),"",ISNUMBER(SEARCH(","&amp;J31,H31))),"City/Postal Code/Country Found in Address"),"")</f>
        <v/>
      </c>
      <c r="AD31" s="2" t="str">
        <f t="shared" si="24"/>
        <v/>
      </c>
      <c r="AE31" s="2" t="str" cm="1">
        <f t="array" ref="AE31">IFERROR(IF(VLOOKUP(LEFT(M31,MIN(SEARCH({1,2,3,4,5,6,7,8,9,0},M31&amp;{1,2,3,4,5,6,7,8,9,0}))-1),'Country Codes'!$N:$N,1,0)&gt;0,"PO Number may be incorrect",""),"")</f>
        <v/>
      </c>
      <c r="AF31" s="2" t="str">
        <f t="shared" si="25"/>
        <v/>
      </c>
      <c r="AG31" s="2" t="str">
        <f t="shared" si="26"/>
        <v/>
      </c>
      <c r="AH31" s="2" t="str">
        <f t="shared" si="27"/>
        <v/>
      </c>
      <c r="AI31" s="2" t="str" cm="1">
        <f t="array" ref="AI31">IF(G31="","",_xlfn.IFNA(_xlfn.IFS(L31=VLOOKUP(L31,'Country Codes'!$M:$M,1,0)=TRUE,""),"Please check the country code"))</f>
        <v/>
      </c>
      <c r="AJ31" s="2" t="str">
        <f t="shared" si="11"/>
        <v/>
      </c>
      <c r="AK31" s="2"/>
      <c r="AM31" s="43">
        <f t="shared" si="12"/>
        <v>0</v>
      </c>
      <c r="AN31" s="43">
        <f t="shared" si="13"/>
        <v>0</v>
      </c>
      <c r="AO31" s="43">
        <f t="shared" si="14"/>
        <v>0</v>
      </c>
      <c r="AP31" s="43">
        <f t="shared" si="15"/>
        <v>0</v>
      </c>
      <c r="AQ31" s="43">
        <f t="shared" si="16"/>
        <v>0</v>
      </c>
    </row>
    <row r="32" spans="1:43" ht="15.75" x14ac:dyDescent="0.25">
      <c r="A32" s="16" t="s">
        <v>455</v>
      </c>
      <c r="B32" s="11" t="s">
        <v>482</v>
      </c>
      <c r="C32" s="11" t="s">
        <v>12</v>
      </c>
      <c r="D32" s="11" t="s">
        <v>30</v>
      </c>
      <c r="E32" s="11" t="s">
        <v>495</v>
      </c>
      <c r="F32" s="11" t="s">
        <v>498</v>
      </c>
      <c r="G32" s="11" t="s">
        <v>506</v>
      </c>
      <c r="H32" s="11" t="s">
        <v>541</v>
      </c>
      <c r="I32" s="11" t="s">
        <v>453</v>
      </c>
      <c r="J32" s="11" t="s">
        <v>30</v>
      </c>
      <c r="K32" s="11" t="s">
        <v>456</v>
      </c>
      <c r="L32" s="11" t="s">
        <v>46</v>
      </c>
      <c r="M32" s="11" t="s">
        <v>515</v>
      </c>
      <c r="N32" s="11"/>
      <c r="O32" s="11" t="s">
        <v>30</v>
      </c>
      <c r="P32" s="11" t="s">
        <v>517</v>
      </c>
      <c r="Q32" s="7"/>
      <c r="R32" s="2" t="str">
        <f t="shared" si="17"/>
        <v/>
      </c>
      <c r="S32" s="2" t="str">
        <f t="shared" si="18"/>
        <v/>
      </c>
      <c r="T32" s="2" t="str">
        <f t="shared" si="19"/>
        <v/>
      </c>
      <c r="U32" s="2" t="str">
        <f t="shared" si="20"/>
        <v/>
      </c>
      <c r="V32" s="2" t="str">
        <f t="shared" si="21"/>
        <v/>
      </c>
      <c r="W32" s="2" t="str">
        <f t="shared" si="22"/>
        <v/>
      </c>
      <c r="X32" s="2" t="str" cm="1">
        <f t="array" ref="X32">IF((SUMPRODUCT(--ISNUMBER(SEARCH({"!","@","#","$","%","^","&amp;","~*","(",")","_","+","=","{","}","[","]","|","\",":",";","'","""","&lt;","&gt;",",",".","~?","/","~~","`"}, I32)))&gt;0)=TRUE,"Special Characters Found in City","")</f>
        <v/>
      </c>
      <c r="Y32" s="2" t="str" cm="1">
        <f t="array" ref="Y32">IF((SUMPRODUCT(--ISNUMBER(SEARCH({"!","@","#","$","%","^","~*","(",")","_","+","=","{","}","[","]","|","\",":",";","'","""","&lt;","&gt;","~?","/","~~","`"},F32)))&gt;0)=TRUE,"Special Characters Found in Account field","")</f>
        <v/>
      </c>
      <c r="Z32" s="2" t="str" cm="1">
        <f t="array" ref="Z32">IF(SUM(--ISNUMBER(SEARCH({1,2,3,4,5,6,7,8,9,0},MID(H32,(SEARCH(" E ",H32)-1),1))))+SUM(--ISNUMBER(SEARCH({1,2,3,4,5,6,7,8,9,0},MID(H32,(SEARCH(" E ",H32)+3),1))))=2,"",IF(SUM(--ISNUMBER(SEARCH({"Parte E","Apoquindo N"},H32)))&gt;0,"",IF(OR(RIGHT(H32,3)=" NE",RIGHT(H32,3)=" NW",RIGHT(H32,3)=" SW",RIGHT(H32,3)=" SE",RIGHT(H32,2)=" N",RIGHT(H32,2)=" E",RIGHT(H32,2)=" W",RIGHT(H32,2)=" S",LEFT(H32,3)="NE ",LEFT(H32,3)="NW ",LEFT(H32,3)="SW ",LEFT(H32,3)="SE ",LEFT(H32,2)="N ",LEFT(H32,2)="E ",LEFT(H32,2)="W ",LEFT(H32,2)="S "),"Directional Check",IF(SUM(--ISNUMBER(SEARCH({" N "," E "," W "," S "," NE "," NW "," SW "," SE ","N.E","N.W","S.W","S.E","E.","N.","S.","W."},H32)))&gt;0,"Directional Check",IF(SUM(--ISNUMBER(SEARCH({1,2,3,4,5,6,7,8,9,0},MID(H32,(SEARCH("nd ",H32)-1),1))))+SUM(--ISNUMBER(SEARCH({1,2,3,4,5,6,7,8,9,0},MID(H32,(SEARCH("rd ",H32)-1),1)))+SUM(--ISNUMBER(SEARCH({1,2,3,4,5,6,7,8,9,0},MID(H32,(SEARCH("st ",H32)-1),1))))+SUM(--ISNUMBER(SEARCH({1,2,3,4,5,6,7,8,9,0},MID(H32,(SEARCH("th ",H32)-1),1)))))&gt;0,"","")))))</f>
        <v/>
      </c>
      <c r="AA32" s="2" t="str">
        <f>IF(IF(L32="US",IFERROR(VLOOKUP(J32,'Country Codes'!$B:$B,1,0)=J32,"US State Code Error"),IF(L32="CA",IFERROR(VLOOKUP(J32,'Country Codes'!$E:$E,1,0)=J32,"Canada State Code Error"),IF(L32="BR",IFERROR(VLOOKUP(J32,'Country Codes'!$H:$H,1,0)=J32,"Brazil State Code Error"),IF(L32="AU",IFERROR(VLOOKUP(J32,'Country Codes'!$K:$K,1,0)=J32,"Australia State Code Error"),""))))=TRUE,"",IF(L32="US",IFERROR(VLOOKUP(J32,'Country Codes'!$B:$B,1,0)=J32,"US State Code Error"),IF(L32="CA",IFERROR(VLOOKUP(J32,'Country Codes'!$E:$E,1,0)=J32,"Canada State Code Error"),IF(L32="BR",IFERROR(VLOOKUP(J32,'Country Codes'!$H:$H,1,0)=J32,"Brazil State Code Error"),IF(L32="AU",IFERROR(VLOOKUP(J32,'Country Codes'!$K:$K,1,0)=J32,"Australia State Code Error"),"")))))</f>
        <v/>
      </c>
      <c r="AB32" s="2" t="str">
        <f t="shared" si="23"/>
        <v/>
      </c>
      <c r="AC32" s="2" t="str" cm="1">
        <f t="array" ref="AC32">IFERROR(_xlfn.IFS(IF(AND(LEN(I32)=0,ISBLANK(I32)=FALSE),"",ISNUMBER(SEARCH(I32,H32))),"City/Postal Code/Country Found in Address",IF(AND(LEN(K32)=0,ISBLANK(K32)=FALSE),"",ISNUMBER(SEARCH(K32,H32))),"City/Postal Code/Country Found in Address",IF(AND(LEN(L32)=0,ISBLANK(L32)=FALSE),"",ISNUMBER(SEARCH(", "&amp;L32,H32))),"City/Postal Code/Country Found in Address",IF(AND(LEN(J32)=0,ISBLANK(J32)=FALSE),"",ISNUMBER(SEARCH(", "&amp;J32,H32))),"City/Postal Code/Country Found in Address",IF(AND(LEN(L32)=0,ISBLANK(L32)=FALSE),"",ISNUMBER(SEARCH(","&amp;L32,H32))),"City/Postal Code/Country Found in Address",IF(AND(LEN(J32)=0,ISBLANK(J32)=FALSE),"",ISNUMBER(SEARCH(","&amp;J32,H32))),"City/Postal Code/Country Found in Address"),"")</f>
        <v/>
      </c>
      <c r="AD32" s="2" t="str">
        <f t="shared" si="24"/>
        <v/>
      </c>
      <c r="AE32" s="2" t="str" cm="1">
        <f t="array" ref="AE32">IFERROR(IF(VLOOKUP(LEFT(M32,MIN(SEARCH({1,2,3,4,5,6,7,8,9,0},M32&amp;{1,2,3,4,5,6,7,8,9,0}))-1),'Country Codes'!$N:$N,1,0)&gt;0,"PO Number may be incorrect",""),"")</f>
        <v/>
      </c>
      <c r="AF32" s="2" t="str">
        <f t="shared" si="25"/>
        <v/>
      </c>
      <c r="AG32" s="2" t="str">
        <f t="shared" si="26"/>
        <v/>
      </c>
      <c r="AH32" s="2" t="str">
        <f t="shared" si="27"/>
        <v/>
      </c>
      <c r="AI32" s="2" t="str" cm="1">
        <f t="array" ref="AI32">IF(G32="","",_xlfn.IFNA(_xlfn.IFS(L32=VLOOKUP(L32,'Country Codes'!$M:$M,1,0)=TRUE,""),"Please check the country code"))</f>
        <v/>
      </c>
      <c r="AJ32" s="2" t="str">
        <f t="shared" si="11"/>
        <v/>
      </c>
      <c r="AK32" s="2"/>
      <c r="AM32" s="43">
        <f t="shared" si="12"/>
        <v>0</v>
      </c>
      <c r="AN32" s="43">
        <f t="shared" si="13"/>
        <v>0</v>
      </c>
      <c r="AO32" s="43">
        <f t="shared" si="14"/>
        <v>0</v>
      </c>
      <c r="AP32" s="43">
        <f t="shared" si="15"/>
        <v>0</v>
      </c>
      <c r="AQ32" s="43">
        <f t="shared" si="16"/>
        <v>0</v>
      </c>
    </row>
    <row r="33" spans="1:43" ht="15.75" x14ac:dyDescent="0.25">
      <c r="A33" s="16" t="s">
        <v>473</v>
      </c>
      <c r="B33" s="11" t="s">
        <v>483</v>
      </c>
      <c r="C33" s="11" t="s">
        <v>11</v>
      </c>
      <c r="D33" s="11" t="s">
        <v>494</v>
      </c>
      <c r="E33" s="11" t="s">
        <v>30</v>
      </c>
      <c r="F33" s="11" t="s">
        <v>499</v>
      </c>
      <c r="G33" s="11" t="s">
        <v>507</v>
      </c>
      <c r="H33" s="11" t="s">
        <v>513</v>
      </c>
      <c r="I33" s="11" t="s">
        <v>474</v>
      </c>
      <c r="J33" s="11" t="s">
        <v>57</v>
      </c>
      <c r="K33" s="11" t="s">
        <v>475</v>
      </c>
      <c r="L33" s="11" t="s">
        <v>33</v>
      </c>
      <c r="M33" s="11" t="s">
        <v>30</v>
      </c>
      <c r="N33" s="11" t="s">
        <v>30</v>
      </c>
      <c r="O33" s="11" t="s">
        <v>30</v>
      </c>
      <c r="P33" s="11" t="s">
        <v>452</v>
      </c>
      <c r="Q33" s="7"/>
      <c r="R33" s="2" t="str">
        <f t="shared" si="17"/>
        <v>Unique Record</v>
      </c>
      <c r="S33" s="2" t="str">
        <f t="shared" si="18"/>
        <v/>
      </c>
      <c r="T33" s="2" t="str">
        <f t="shared" si="19"/>
        <v/>
      </c>
      <c r="U33" s="2" t="str">
        <f t="shared" si="20"/>
        <v/>
      </c>
      <c r="V33" s="2" t="str">
        <f t="shared" si="21"/>
        <v/>
      </c>
      <c r="W33" s="2" t="str">
        <f t="shared" si="22"/>
        <v/>
      </c>
      <c r="X33" s="2" t="str" cm="1">
        <f t="array" ref="X33">IF((SUMPRODUCT(--ISNUMBER(SEARCH({"!","@","#","$","%","^","&amp;","~*","(",")","_","+","=","{","}","[","]","|","\",":",";","'","""","&lt;","&gt;",",",".","~?","/","~~","`"}, I33)))&gt;0)=TRUE,"Special Characters Found in City","")</f>
        <v/>
      </c>
      <c r="Y33" s="2" t="str" cm="1">
        <f t="array" ref="Y33">IF((SUMPRODUCT(--ISNUMBER(SEARCH({"!","@","#","$","%","^","~*","(",")","_","+","=","{","}","[","]","|","\",":",";","'","""","&lt;","&gt;","~?","/","~~","`"},F33)))&gt;0)=TRUE,"Special Characters Found in Account field","")</f>
        <v/>
      </c>
      <c r="Z33" s="2" t="str" cm="1">
        <f t="array" ref="Z33">IF(SUM(--ISNUMBER(SEARCH({1,2,3,4,5,6,7,8,9,0},MID(H33,(SEARCH(" E ",H33)-1),1))))+SUM(--ISNUMBER(SEARCH({1,2,3,4,5,6,7,8,9,0},MID(H33,(SEARCH(" E ",H33)+3),1))))=2,"",IF(SUM(--ISNUMBER(SEARCH({"Parte E","Apoquindo N"},H33)))&gt;0,"",IF(OR(RIGHT(H33,3)=" NE",RIGHT(H33,3)=" NW",RIGHT(H33,3)=" SW",RIGHT(H33,3)=" SE",RIGHT(H33,2)=" N",RIGHT(H33,2)=" E",RIGHT(H33,2)=" W",RIGHT(H33,2)=" S",LEFT(H33,3)="NE ",LEFT(H33,3)="NW ",LEFT(H33,3)="SW ",LEFT(H33,3)="SE ",LEFT(H33,2)="N ",LEFT(H33,2)="E ",LEFT(H33,2)="W ",LEFT(H33,2)="S "),"Directional Check",IF(SUM(--ISNUMBER(SEARCH({" N "," E "," W "," S "," NE "," NW "," SW "," SE ","N.E","N.W","S.W","S.E","E.","N.","S.","W."},H33)))&gt;0,"Directional Check",IF(SUM(--ISNUMBER(SEARCH({1,2,3,4,5,6,7,8,9,0},MID(H33,(SEARCH("nd ",H33)-1),1))))+SUM(--ISNUMBER(SEARCH({1,2,3,4,5,6,7,8,9,0},MID(H33,(SEARCH("rd ",H33)-1),1)))+SUM(--ISNUMBER(SEARCH({1,2,3,4,5,6,7,8,9,0},MID(H33,(SEARCH("st ",H33)-1),1))))+SUM(--ISNUMBER(SEARCH({1,2,3,4,5,6,7,8,9,0},MID(H33,(SEARCH("th ",H33)-1),1)))))&gt;0,"","")))))</f>
        <v/>
      </c>
      <c r="AA33" s="2" t="str">
        <f>IF(IF(L33="US",IFERROR(VLOOKUP(J33,'Country Codes'!$B:$B,1,0)=J33,"US State Code Error"),IF(L33="CA",IFERROR(VLOOKUP(J33,'Country Codes'!$E:$E,1,0)=J33,"Canada State Code Error"),IF(L33="BR",IFERROR(VLOOKUP(J33,'Country Codes'!$H:$H,1,0)=J33,"Brazil State Code Error"),IF(L33="AU",IFERROR(VLOOKUP(J33,'Country Codes'!$K:$K,1,0)=J33,"Australia State Code Error"),""))))=TRUE,"",IF(L33="US",IFERROR(VLOOKUP(J33,'Country Codes'!$B:$B,1,0)=J33,"US State Code Error"),IF(L33="CA",IFERROR(VLOOKUP(J33,'Country Codes'!$E:$E,1,0)=J33,"Canada State Code Error"),IF(L33="BR",IFERROR(VLOOKUP(J33,'Country Codes'!$H:$H,1,0)=J33,"Brazil State Code Error"),IF(L33="AU",IFERROR(VLOOKUP(J33,'Country Codes'!$K:$K,1,0)=J33,"Australia State Code Error"),"")))))</f>
        <v/>
      </c>
      <c r="AB33" s="2" t="str">
        <f t="shared" si="23"/>
        <v/>
      </c>
      <c r="AC33" s="2" t="str" cm="1">
        <f t="array" ref="AC33">IFERROR(_xlfn.IFS(IF(AND(LEN(I33)=0,ISBLANK(I33)=FALSE),"",ISNUMBER(SEARCH(I33,H33))),"City/Postal Code/Country Found in Address",IF(AND(LEN(K33)=0,ISBLANK(K33)=FALSE),"",ISNUMBER(SEARCH(K33,H33))),"City/Postal Code/Country Found in Address",IF(AND(LEN(L33)=0,ISBLANK(L33)=FALSE),"",ISNUMBER(SEARCH(", "&amp;L33,H33))),"City/Postal Code/Country Found in Address",IF(AND(LEN(J33)=0,ISBLANK(J33)=FALSE),"",ISNUMBER(SEARCH(", "&amp;J33,H33))),"City/Postal Code/Country Found in Address",IF(AND(LEN(L33)=0,ISBLANK(L33)=FALSE),"",ISNUMBER(SEARCH(","&amp;L33,H33))),"City/Postal Code/Country Found in Address",IF(AND(LEN(J33)=0,ISBLANK(J33)=FALSE),"",ISNUMBER(SEARCH(","&amp;J33,H33))),"City/Postal Code/Country Found in Address"),"")</f>
        <v/>
      </c>
      <c r="AD33" s="2" t="str">
        <f t="shared" si="24"/>
        <v/>
      </c>
      <c r="AE33" s="2" t="str" cm="1">
        <f t="array" ref="AE33">IFERROR(IF(VLOOKUP(LEFT(M33,MIN(SEARCH({1,2,3,4,5,6,7,8,9,0},M33&amp;{1,2,3,4,5,6,7,8,9,0}))-1),'Country Codes'!$N:$N,1,0)&gt;0,"PO Number may be incorrect",""),"")</f>
        <v/>
      </c>
      <c r="AF33" s="2" t="str">
        <f t="shared" si="25"/>
        <v/>
      </c>
      <c r="AG33" s="2" t="str">
        <f t="shared" si="26"/>
        <v/>
      </c>
      <c r="AH33" s="2" t="str">
        <f t="shared" si="27"/>
        <v/>
      </c>
      <c r="AI33" s="2" t="str" cm="1">
        <f t="array" ref="AI33">IF(G33="","",_xlfn.IFNA(_xlfn.IFS(L33=VLOOKUP(L33,'Country Codes'!$M:$M,1,0)=TRUE,""),"Please check the country code"))</f>
        <v/>
      </c>
      <c r="AJ33" s="2" t="str">
        <f t="shared" si="11"/>
        <v/>
      </c>
      <c r="AK33" s="2"/>
      <c r="AM33" s="43">
        <f t="shared" si="12"/>
        <v>0</v>
      </c>
      <c r="AN33" s="43">
        <f t="shared" si="13"/>
        <v>0</v>
      </c>
      <c r="AO33" s="43">
        <f t="shared" si="14"/>
        <v>0</v>
      </c>
      <c r="AP33" s="43">
        <f t="shared" si="15"/>
        <v>0</v>
      </c>
      <c r="AQ33" s="43">
        <f t="shared" si="16"/>
        <v>0</v>
      </c>
    </row>
    <row r="34" spans="1:43" ht="15.75" x14ac:dyDescent="0.25">
      <c r="A34" s="16" t="s">
        <v>473</v>
      </c>
      <c r="B34" s="11" t="s">
        <v>483</v>
      </c>
      <c r="C34" s="11" t="s">
        <v>12</v>
      </c>
      <c r="D34" s="11" t="s">
        <v>30</v>
      </c>
      <c r="E34" s="11" t="s">
        <v>452</v>
      </c>
      <c r="F34" s="11" t="s">
        <v>499</v>
      </c>
      <c r="G34" s="11" t="s">
        <v>507</v>
      </c>
      <c r="H34" s="11" t="s">
        <v>513</v>
      </c>
      <c r="I34" s="11" t="s">
        <v>474</v>
      </c>
      <c r="J34" s="11" t="s">
        <v>57</v>
      </c>
      <c r="K34" s="11" t="s">
        <v>475</v>
      </c>
      <c r="L34" s="11" t="s">
        <v>33</v>
      </c>
      <c r="M34" s="11" t="s">
        <v>30</v>
      </c>
      <c r="N34" s="11" t="s">
        <v>30</v>
      </c>
      <c r="O34" s="11" t="s">
        <v>30</v>
      </c>
      <c r="P34" s="11" t="s">
        <v>452</v>
      </c>
      <c r="Q34" s="7"/>
      <c r="R34" s="2" t="str">
        <f t="shared" si="17"/>
        <v/>
      </c>
      <c r="S34" s="2" t="str">
        <f t="shared" si="18"/>
        <v/>
      </c>
      <c r="T34" s="2" t="str">
        <f t="shared" si="19"/>
        <v/>
      </c>
      <c r="U34" s="2" t="str">
        <f t="shared" si="20"/>
        <v/>
      </c>
      <c r="V34" s="2" t="str">
        <f t="shared" si="21"/>
        <v/>
      </c>
      <c r="W34" s="2" t="str">
        <f t="shared" si="22"/>
        <v/>
      </c>
      <c r="X34" s="2" t="str" cm="1">
        <f t="array" ref="X34">IF((SUMPRODUCT(--ISNUMBER(SEARCH({"!","@","#","$","%","^","&amp;","~*","(",")","_","+","=","{","}","[","]","|","\",":",";","'","""","&lt;","&gt;",",",".","~?","/","~~","`"}, I34)))&gt;0)=TRUE,"Special Characters Found in City","")</f>
        <v/>
      </c>
      <c r="Y34" s="2" t="str" cm="1">
        <f t="array" ref="Y34">IF((SUMPRODUCT(--ISNUMBER(SEARCH({"!","@","#","$","%","^","~*","(",")","_","+","=","{","}","[","]","|","\",":",";","'","""","&lt;","&gt;","~?","/","~~","`"},F34)))&gt;0)=TRUE,"Special Characters Found in Account field","")</f>
        <v/>
      </c>
      <c r="Z34" s="2" t="str" cm="1">
        <f t="array" ref="Z34">IF(SUM(--ISNUMBER(SEARCH({1,2,3,4,5,6,7,8,9,0},MID(H34,(SEARCH(" E ",H34)-1),1))))+SUM(--ISNUMBER(SEARCH({1,2,3,4,5,6,7,8,9,0},MID(H34,(SEARCH(" E ",H34)+3),1))))=2,"",IF(SUM(--ISNUMBER(SEARCH({"Parte E","Apoquindo N"},H34)))&gt;0,"",IF(OR(RIGHT(H34,3)=" NE",RIGHT(H34,3)=" NW",RIGHT(H34,3)=" SW",RIGHT(H34,3)=" SE",RIGHT(H34,2)=" N",RIGHT(H34,2)=" E",RIGHT(H34,2)=" W",RIGHT(H34,2)=" S",LEFT(H34,3)="NE ",LEFT(H34,3)="NW ",LEFT(H34,3)="SW ",LEFT(H34,3)="SE ",LEFT(H34,2)="N ",LEFT(H34,2)="E ",LEFT(H34,2)="W ",LEFT(H34,2)="S "),"Directional Check",IF(SUM(--ISNUMBER(SEARCH({" N "," E "," W "," S "," NE "," NW "," SW "," SE ","N.E","N.W","S.W","S.E","E.","N.","S.","W."},H34)))&gt;0,"Directional Check",IF(SUM(--ISNUMBER(SEARCH({1,2,3,4,5,6,7,8,9,0},MID(H34,(SEARCH("nd ",H34)-1),1))))+SUM(--ISNUMBER(SEARCH({1,2,3,4,5,6,7,8,9,0},MID(H34,(SEARCH("rd ",H34)-1),1)))+SUM(--ISNUMBER(SEARCH({1,2,3,4,5,6,7,8,9,0},MID(H34,(SEARCH("st ",H34)-1),1))))+SUM(--ISNUMBER(SEARCH({1,2,3,4,5,6,7,8,9,0},MID(H34,(SEARCH("th ",H34)-1),1)))))&gt;0,"","")))))</f>
        <v/>
      </c>
      <c r="AA34" s="2" t="str">
        <f>IF(IF(L34="US",IFERROR(VLOOKUP(J34,'Country Codes'!$B:$B,1,0)=J34,"US State Code Error"),IF(L34="CA",IFERROR(VLOOKUP(J34,'Country Codes'!$E:$E,1,0)=J34,"Canada State Code Error"),IF(L34="BR",IFERROR(VLOOKUP(J34,'Country Codes'!$H:$H,1,0)=J34,"Brazil State Code Error"),IF(L34="AU",IFERROR(VLOOKUP(J34,'Country Codes'!$K:$K,1,0)=J34,"Australia State Code Error"),""))))=TRUE,"",IF(L34="US",IFERROR(VLOOKUP(J34,'Country Codes'!$B:$B,1,0)=J34,"US State Code Error"),IF(L34="CA",IFERROR(VLOOKUP(J34,'Country Codes'!$E:$E,1,0)=J34,"Canada State Code Error"),IF(L34="BR",IFERROR(VLOOKUP(J34,'Country Codes'!$H:$H,1,0)=J34,"Brazil State Code Error"),IF(L34="AU",IFERROR(VLOOKUP(J34,'Country Codes'!$K:$K,1,0)=J34,"Australia State Code Error"),"")))))</f>
        <v/>
      </c>
      <c r="AB34" s="2" t="str">
        <f t="shared" si="23"/>
        <v/>
      </c>
      <c r="AC34" s="2" t="str" cm="1">
        <f t="array" ref="AC34">IFERROR(_xlfn.IFS(IF(AND(LEN(I34)=0,ISBLANK(I34)=FALSE),"",ISNUMBER(SEARCH(I34,H34))),"City/Postal Code/Country Found in Address",IF(AND(LEN(K34)=0,ISBLANK(K34)=FALSE),"",ISNUMBER(SEARCH(K34,H34))),"City/Postal Code/Country Found in Address",IF(AND(LEN(L34)=0,ISBLANK(L34)=FALSE),"",ISNUMBER(SEARCH(", "&amp;L34,H34))),"City/Postal Code/Country Found in Address",IF(AND(LEN(J34)=0,ISBLANK(J34)=FALSE),"",ISNUMBER(SEARCH(", "&amp;J34,H34))),"City/Postal Code/Country Found in Address",IF(AND(LEN(L34)=0,ISBLANK(L34)=FALSE),"",ISNUMBER(SEARCH(","&amp;L34,H34))),"City/Postal Code/Country Found in Address",IF(AND(LEN(J34)=0,ISBLANK(J34)=FALSE),"",ISNUMBER(SEARCH(","&amp;J34,H34))),"City/Postal Code/Country Found in Address"),"")</f>
        <v/>
      </c>
      <c r="AD34" s="2" t="str">
        <f t="shared" si="24"/>
        <v/>
      </c>
      <c r="AE34" s="2" t="str" cm="1">
        <f t="array" ref="AE34">IFERROR(IF(VLOOKUP(LEFT(M34,MIN(SEARCH({1,2,3,4,5,6,7,8,9,0},M34&amp;{1,2,3,4,5,6,7,8,9,0}))-1),'Country Codes'!$N:$N,1,0)&gt;0,"PO Number may be incorrect",""),"")</f>
        <v/>
      </c>
      <c r="AF34" s="2" t="str">
        <f t="shared" si="25"/>
        <v/>
      </c>
      <c r="AG34" s="2" t="str">
        <f t="shared" si="26"/>
        <v/>
      </c>
      <c r="AH34" s="2" t="str">
        <f t="shared" si="27"/>
        <v/>
      </c>
      <c r="AI34" s="2" t="str" cm="1">
        <f t="array" ref="AI34">IF(G34="","",_xlfn.IFNA(_xlfn.IFS(L34=VLOOKUP(L34,'Country Codes'!$M:$M,1,0)=TRUE,""),"Please check the country code"))</f>
        <v/>
      </c>
      <c r="AJ34" s="2" t="str">
        <f t="shared" si="11"/>
        <v/>
      </c>
      <c r="AK34" s="2"/>
      <c r="AM34" s="43">
        <f t="shared" si="12"/>
        <v>0</v>
      </c>
      <c r="AN34" s="43">
        <f t="shared" si="13"/>
        <v>0</v>
      </c>
      <c r="AO34" s="43">
        <f t="shared" si="14"/>
        <v>0</v>
      </c>
      <c r="AP34" s="43">
        <f t="shared" si="15"/>
        <v>0</v>
      </c>
      <c r="AQ34" s="43">
        <f t="shared" si="16"/>
        <v>0</v>
      </c>
    </row>
    <row r="35" spans="1:43" ht="15.75" x14ac:dyDescent="0.25">
      <c r="A35" s="16" t="s">
        <v>476</v>
      </c>
      <c r="B35" s="11" t="s">
        <v>483</v>
      </c>
      <c r="C35" s="11" t="s">
        <v>9</v>
      </c>
      <c r="D35" s="11" t="s">
        <v>30</v>
      </c>
      <c r="E35" s="11" t="s">
        <v>496</v>
      </c>
      <c r="F35" s="11" t="s">
        <v>499</v>
      </c>
      <c r="G35" s="11" t="s">
        <v>507</v>
      </c>
      <c r="H35" s="11" t="s">
        <v>513</v>
      </c>
      <c r="I35" s="11" t="s">
        <v>474</v>
      </c>
      <c r="J35" s="11" t="s">
        <v>57</v>
      </c>
      <c r="K35" s="11" t="s">
        <v>475</v>
      </c>
      <c r="L35" s="11" t="s">
        <v>33</v>
      </c>
      <c r="M35" s="11" t="s">
        <v>30</v>
      </c>
      <c r="N35" s="11" t="s">
        <v>30</v>
      </c>
      <c r="O35" s="11" t="s">
        <v>30</v>
      </c>
      <c r="P35" s="11" t="s">
        <v>452</v>
      </c>
      <c r="Q35" s="7"/>
      <c r="R35" s="2" t="str">
        <f t="shared" si="17"/>
        <v/>
      </c>
      <c r="S35" s="2" t="str">
        <f t="shared" si="18"/>
        <v/>
      </c>
      <c r="T35" s="2" t="str">
        <f t="shared" si="19"/>
        <v/>
      </c>
      <c r="U35" s="2" t="str">
        <f t="shared" si="20"/>
        <v/>
      </c>
      <c r="V35" s="2" t="str">
        <f t="shared" si="21"/>
        <v/>
      </c>
      <c r="W35" s="2" t="str">
        <f t="shared" si="22"/>
        <v/>
      </c>
      <c r="X35" s="2" t="str" cm="1">
        <f t="array" ref="X35">IF((SUMPRODUCT(--ISNUMBER(SEARCH({"!","@","#","$","%","^","&amp;","~*","(",")","_","+","=","{","}","[","]","|","\",":",";","'","""","&lt;","&gt;",",",".","~?","/","~~","`"}, I35)))&gt;0)=TRUE,"Special Characters Found in City","")</f>
        <v/>
      </c>
      <c r="Y35" s="2" t="str" cm="1">
        <f t="array" ref="Y35">IF((SUMPRODUCT(--ISNUMBER(SEARCH({"!","@","#","$","%","^","~*","(",")","_","+","=","{","}","[","]","|","\",":",";","'","""","&lt;","&gt;","~?","/","~~","`"},F35)))&gt;0)=TRUE,"Special Characters Found in Account field","")</f>
        <v/>
      </c>
      <c r="Z35" s="2" t="str" cm="1">
        <f t="array" ref="Z35">IF(SUM(--ISNUMBER(SEARCH({1,2,3,4,5,6,7,8,9,0},MID(H35,(SEARCH(" E ",H35)-1),1))))+SUM(--ISNUMBER(SEARCH({1,2,3,4,5,6,7,8,9,0},MID(H35,(SEARCH(" E ",H35)+3),1))))=2,"",IF(SUM(--ISNUMBER(SEARCH({"Parte E","Apoquindo N"},H35)))&gt;0,"",IF(OR(RIGHT(H35,3)=" NE",RIGHT(H35,3)=" NW",RIGHT(H35,3)=" SW",RIGHT(H35,3)=" SE",RIGHT(H35,2)=" N",RIGHT(H35,2)=" E",RIGHT(H35,2)=" W",RIGHT(H35,2)=" S",LEFT(H35,3)="NE ",LEFT(H35,3)="NW ",LEFT(H35,3)="SW ",LEFT(H35,3)="SE ",LEFT(H35,2)="N ",LEFT(H35,2)="E ",LEFT(H35,2)="W ",LEFT(H35,2)="S "),"Directional Check",IF(SUM(--ISNUMBER(SEARCH({" N "," E "," W "," S "," NE "," NW "," SW "," SE ","N.E","N.W","S.W","S.E","E.","N.","S.","W."},H35)))&gt;0,"Directional Check",IF(SUM(--ISNUMBER(SEARCH({1,2,3,4,5,6,7,8,9,0},MID(H35,(SEARCH("nd ",H35)-1),1))))+SUM(--ISNUMBER(SEARCH({1,2,3,4,5,6,7,8,9,0},MID(H35,(SEARCH("rd ",H35)-1),1)))+SUM(--ISNUMBER(SEARCH({1,2,3,4,5,6,7,8,9,0},MID(H35,(SEARCH("st ",H35)-1),1))))+SUM(--ISNUMBER(SEARCH({1,2,3,4,5,6,7,8,9,0},MID(H35,(SEARCH("th ",H35)-1),1)))))&gt;0,"","")))))</f>
        <v/>
      </c>
      <c r="AA35" s="2" t="str">
        <f>IF(IF(L35="US",IFERROR(VLOOKUP(J35,'Country Codes'!$B:$B,1,0)=J35,"US State Code Error"),IF(L35="CA",IFERROR(VLOOKUP(J35,'Country Codes'!$E:$E,1,0)=J35,"Canada State Code Error"),IF(L35="BR",IFERROR(VLOOKUP(J35,'Country Codes'!$H:$H,1,0)=J35,"Brazil State Code Error"),IF(L35="AU",IFERROR(VLOOKUP(J35,'Country Codes'!$K:$K,1,0)=J35,"Australia State Code Error"),""))))=TRUE,"",IF(L35="US",IFERROR(VLOOKUP(J35,'Country Codes'!$B:$B,1,0)=J35,"US State Code Error"),IF(L35="CA",IFERROR(VLOOKUP(J35,'Country Codes'!$E:$E,1,0)=J35,"Canada State Code Error"),IF(L35="BR",IFERROR(VLOOKUP(J35,'Country Codes'!$H:$H,1,0)=J35,"Brazil State Code Error"),IF(L35="AU",IFERROR(VLOOKUP(J35,'Country Codes'!$K:$K,1,0)=J35,"Australia State Code Error"),"")))))</f>
        <v/>
      </c>
      <c r="AB35" s="2" t="str">
        <f t="shared" si="23"/>
        <v/>
      </c>
      <c r="AC35" s="2" t="str" cm="1">
        <f t="array" ref="AC35">IFERROR(_xlfn.IFS(IF(AND(LEN(I35)=0,ISBLANK(I35)=FALSE),"",ISNUMBER(SEARCH(I35,H35))),"City/Postal Code/Country Found in Address",IF(AND(LEN(K35)=0,ISBLANK(K35)=FALSE),"",ISNUMBER(SEARCH(K35,H35))),"City/Postal Code/Country Found in Address",IF(AND(LEN(L35)=0,ISBLANK(L35)=FALSE),"",ISNUMBER(SEARCH(", "&amp;L35,H35))),"City/Postal Code/Country Found in Address",IF(AND(LEN(J35)=0,ISBLANK(J35)=FALSE),"",ISNUMBER(SEARCH(", "&amp;J35,H35))),"City/Postal Code/Country Found in Address",IF(AND(LEN(L35)=0,ISBLANK(L35)=FALSE),"",ISNUMBER(SEARCH(","&amp;L35,H35))),"City/Postal Code/Country Found in Address",IF(AND(LEN(J35)=0,ISBLANK(J35)=FALSE),"",ISNUMBER(SEARCH(","&amp;J35,H35))),"City/Postal Code/Country Found in Address"),"")</f>
        <v/>
      </c>
      <c r="AD35" s="2" t="str">
        <f t="shared" si="24"/>
        <v/>
      </c>
      <c r="AE35" s="2" t="str" cm="1">
        <f t="array" ref="AE35">IFERROR(IF(VLOOKUP(LEFT(M35,MIN(SEARCH({1,2,3,4,5,6,7,8,9,0},M35&amp;{1,2,3,4,5,6,7,8,9,0}))-1),'Country Codes'!$N:$N,1,0)&gt;0,"PO Number may be incorrect",""),"")</f>
        <v/>
      </c>
      <c r="AF35" s="2" t="str">
        <f t="shared" si="25"/>
        <v/>
      </c>
      <c r="AG35" s="2" t="str">
        <f t="shared" si="26"/>
        <v/>
      </c>
      <c r="AH35" s="2" t="str">
        <f t="shared" si="27"/>
        <v/>
      </c>
      <c r="AI35" s="2" t="str" cm="1">
        <f t="array" ref="AI35">IF(G35="","",_xlfn.IFNA(_xlfn.IFS(L35=VLOOKUP(L35,'Country Codes'!$M:$M,1,0)=TRUE,""),"Please check the country code"))</f>
        <v/>
      </c>
      <c r="AJ35" s="2" t="str">
        <f t="shared" si="11"/>
        <v/>
      </c>
      <c r="AK35" s="2"/>
      <c r="AM35" s="43">
        <f t="shared" si="12"/>
        <v>0</v>
      </c>
      <c r="AN35" s="43">
        <f t="shared" si="13"/>
        <v>0</v>
      </c>
      <c r="AO35" s="43">
        <f t="shared" si="14"/>
        <v>0</v>
      </c>
      <c r="AP35" s="43">
        <f t="shared" si="15"/>
        <v>0</v>
      </c>
      <c r="AQ35" s="43">
        <f t="shared" si="16"/>
        <v>0</v>
      </c>
    </row>
    <row r="36" spans="1:43" ht="15.75" x14ac:dyDescent="0.25">
      <c r="A36" s="16" t="s">
        <v>459</v>
      </c>
      <c r="B36" s="11" t="s">
        <v>482</v>
      </c>
      <c r="C36" s="11" t="s">
        <v>9</v>
      </c>
      <c r="D36" s="11" t="s">
        <v>460</v>
      </c>
      <c r="E36" s="11" t="s">
        <v>461</v>
      </c>
      <c r="F36" s="11" t="s">
        <v>488</v>
      </c>
      <c r="G36" s="11" t="s">
        <v>502</v>
      </c>
      <c r="H36" s="11" t="s">
        <v>509</v>
      </c>
      <c r="I36" s="11" t="s">
        <v>462</v>
      </c>
      <c r="J36" s="11" t="s">
        <v>97</v>
      </c>
      <c r="K36" s="11" t="s">
        <v>463</v>
      </c>
      <c r="L36" s="11" t="s">
        <v>33</v>
      </c>
      <c r="M36" s="11" t="s">
        <v>514</v>
      </c>
      <c r="N36" s="11" t="s">
        <v>30</v>
      </c>
      <c r="O36" s="11" t="s">
        <v>30</v>
      </c>
      <c r="P36" s="11" t="s">
        <v>452</v>
      </c>
      <c r="Q36" s="32"/>
      <c r="R36" s="2" t="str">
        <f t="shared" si="17"/>
        <v>Unique Record</v>
      </c>
      <c r="S36" s="2" t="str">
        <f t="shared" si="18"/>
        <v/>
      </c>
      <c r="T36" s="2" t="str">
        <f t="shared" si="19"/>
        <v/>
      </c>
      <c r="U36" s="2" t="str">
        <f t="shared" si="20"/>
        <v/>
      </c>
      <c r="V36" s="2" t="str">
        <f t="shared" si="21"/>
        <v/>
      </c>
      <c r="W36" s="2" t="str">
        <f t="shared" si="22"/>
        <v/>
      </c>
      <c r="X36" s="2" t="str" cm="1">
        <f t="array" ref="X36">IF((SUMPRODUCT(--ISNUMBER(SEARCH({"!","@","#","$","%","^","&amp;","~*","(",")","_","+","=","{","}","[","]","|","\",":",";","'","""","&lt;","&gt;",",",".","~?","/","~~","`"}, I36)))&gt;0)=TRUE,"Special Characters Found in City","")</f>
        <v/>
      </c>
      <c r="Y36" s="2" t="str" cm="1">
        <f t="array" ref="Y36">IF((SUMPRODUCT(--ISNUMBER(SEARCH({"!","@","#","$","%","^","~*","(",")","_","+","=","{","}","[","]","|","\",":",";","'","""","&lt;","&gt;","~?","/","~~","`"},F36)))&gt;0)=TRUE,"Special Characters Found in Account field","")</f>
        <v/>
      </c>
      <c r="Z36" s="2" t="str" cm="1">
        <f t="array" ref="Z36">IF(SUM(--ISNUMBER(SEARCH({1,2,3,4,5,6,7,8,9,0},MID(H36,(SEARCH(" E ",H36)-1),1))))+SUM(--ISNUMBER(SEARCH({1,2,3,4,5,6,7,8,9,0},MID(H36,(SEARCH(" E ",H36)+3),1))))=2,"",IF(SUM(--ISNUMBER(SEARCH({"Parte E","Apoquindo N"},H36)))&gt;0,"",IF(OR(RIGHT(H36,3)=" NE",RIGHT(H36,3)=" NW",RIGHT(H36,3)=" SW",RIGHT(H36,3)=" SE",RIGHT(H36,2)=" N",RIGHT(H36,2)=" E",RIGHT(H36,2)=" W",RIGHT(H36,2)=" S",LEFT(H36,3)="NE ",LEFT(H36,3)="NW ",LEFT(H36,3)="SW ",LEFT(H36,3)="SE ",LEFT(H36,2)="N ",LEFT(H36,2)="E ",LEFT(H36,2)="W ",LEFT(H36,2)="S "),"Directional Check",IF(SUM(--ISNUMBER(SEARCH({" N "," E "," W "," S "," NE "," NW "," SW "," SE ","N.E","N.W","S.W","S.E","E.","N.","S.","W."},H36)))&gt;0,"Directional Check",IF(SUM(--ISNUMBER(SEARCH({1,2,3,4,5,6,7,8,9,0},MID(H36,(SEARCH("nd ",H36)-1),1))))+SUM(--ISNUMBER(SEARCH({1,2,3,4,5,6,7,8,9,0},MID(H36,(SEARCH("rd ",H36)-1),1)))+SUM(--ISNUMBER(SEARCH({1,2,3,4,5,6,7,8,9,0},MID(H36,(SEARCH("st ",H36)-1),1))))+SUM(--ISNUMBER(SEARCH({1,2,3,4,5,6,7,8,9,0},MID(H36,(SEARCH("th ",H36)-1),1)))))&gt;0,"","")))))</f>
        <v/>
      </c>
      <c r="AA36" s="2" t="str">
        <f>IF(IF(L36="US",IFERROR(VLOOKUP(J36,'Country Codes'!$B:$B,1,0)=J36,"US State Code Error"),IF(L36="CA",IFERROR(VLOOKUP(J36,'Country Codes'!$E:$E,1,0)=J36,"Canada State Code Error"),IF(L36="BR",IFERROR(VLOOKUP(J36,'Country Codes'!$H:$H,1,0)=J36,"Brazil State Code Error"),IF(L36="AU",IFERROR(VLOOKUP(J36,'Country Codes'!$K:$K,1,0)=J36,"Australia State Code Error"),""))))=TRUE,"",IF(L36="US",IFERROR(VLOOKUP(J36,'Country Codes'!$B:$B,1,0)=J36,"US State Code Error"),IF(L36="CA",IFERROR(VLOOKUP(J36,'Country Codes'!$E:$E,1,0)=J36,"Canada State Code Error"),IF(L36="BR",IFERROR(VLOOKUP(J36,'Country Codes'!$H:$H,1,0)=J36,"Brazil State Code Error"),IF(L36="AU",IFERROR(VLOOKUP(J36,'Country Codes'!$K:$K,1,0)=J36,"Australia State Code Error"),"")))))</f>
        <v/>
      </c>
      <c r="AB36" s="2" t="str">
        <f t="shared" si="23"/>
        <v/>
      </c>
      <c r="AC36" s="2" t="str" cm="1">
        <f t="array" ref="AC36">IFERROR(_xlfn.IFS(IF(AND(LEN(I36)=0,ISBLANK(I36)=FALSE),"",ISNUMBER(SEARCH(I36,H36))),"City/Postal Code/Country Found in Address",IF(AND(LEN(K36)=0,ISBLANK(K36)=FALSE),"",ISNUMBER(SEARCH(K36,H36))),"City/Postal Code/Country Found in Address",IF(AND(LEN(L36)=0,ISBLANK(L36)=FALSE),"",ISNUMBER(SEARCH(", "&amp;L36,H36))),"City/Postal Code/Country Found in Address",IF(AND(LEN(J36)=0,ISBLANK(J36)=FALSE),"",ISNUMBER(SEARCH(", "&amp;J36,H36))),"City/Postal Code/Country Found in Address",IF(AND(LEN(L36)=0,ISBLANK(L36)=FALSE),"",ISNUMBER(SEARCH(","&amp;L36,H36))),"City/Postal Code/Country Found in Address",IF(AND(LEN(J36)=0,ISBLANK(J36)=FALSE),"",ISNUMBER(SEARCH(","&amp;J36,H36))),"City/Postal Code/Country Found in Address"),"")</f>
        <v/>
      </c>
      <c r="AD36" s="2" t="str">
        <f t="shared" si="24"/>
        <v/>
      </c>
      <c r="AE36" s="2" t="str" cm="1">
        <f t="array" ref="AE36">IFERROR(IF(VLOOKUP(LEFT(M36,MIN(SEARCH({1,2,3,4,5,6,7,8,9,0},M36&amp;{1,2,3,4,5,6,7,8,9,0}))-1),'Country Codes'!$N:$N,1,0)&gt;0,"PO Number may be incorrect",""),"")</f>
        <v/>
      </c>
      <c r="AF36" s="2" t="str">
        <f t="shared" si="25"/>
        <v/>
      </c>
      <c r="AG36" s="2" t="str">
        <f t="shared" si="26"/>
        <v/>
      </c>
      <c r="AH36" s="2" t="str">
        <f t="shared" si="27"/>
        <v/>
      </c>
      <c r="AI36" s="2" t="str" cm="1">
        <f t="array" ref="AI36">IF(G36="","",_xlfn.IFNA(_xlfn.IFS(L36=VLOOKUP(L36,'Country Codes'!$M:$M,1,0)=TRUE,""),"Please check the country code"))</f>
        <v/>
      </c>
      <c r="AJ36" s="2" t="str">
        <f t="shared" si="11"/>
        <v/>
      </c>
      <c r="AK36" s="2"/>
      <c r="AM36" s="43">
        <f t="shared" si="12"/>
        <v>0</v>
      </c>
      <c r="AN36" s="43">
        <f t="shared" si="13"/>
        <v>0</v>
      </c>
      <c r="AO36" s="43">
        <f t="shared" si="14"/>
        <v>0</v>
      </c>
      <c r="AP36" s="43">
        <f t="shared" si="15"/>
        <v>0</v>
      </c>
      <c r="AQ36" s="43">
        <f t="shared" si="16"/>
        <v>0</v>
      </c>
    </row>
    <row r="37" spans="1:43" ht="15.75" x14ac:dyDescent="0.25">
      <c r="A37" s="16" t="s">
        <v>464</v>
      </c>
      <c r="B37" s="11" t="s">
        <v>482</v>
      </c>
      <c r="C37" s="11" t="s">
        <v>3</v>
      </c>
      <c r="D37" s="11" t="s">
        <v>487</v>
      </c>
      <c r="E37" s="11" t="s">
        <v>488</v>
      </c>
      <c r="F37" s="11" t="s">
        <v>488</v>
      </c>
      <c r="G37" s="11" t="s">
        <v>502</v>
      </c>
      <c r="H37" s="11" t="s">
        <v>509</v>
      </c>
      <c r="I37" s="11" t="s">
        <v>462</v>
      </c>
      <c r="J37" s="11" t="s">
        <v>97</v>
      </c>
      <c r="K37" s="11" t="s">
        <v>463</v>
      </c>
      <c r="L37" s="11" t="s">
        <v>33</v>
      </c>
      <c r="M37" s="11" t="s">
        <v>514</v>
      </c>
      <c r="N37" s="11" t="s">
        <v>30</v>
      </c>
      <c r="O37" s="11" t="s">
        <v>30</v>
      </c>
      <c r="P37" s="11" t="s">
        <v>452</v>
      </c>
      <c r="Q37" s="7"/>
      <c r="R37" s="2" t="str">
        <f t="shared" si="17"/>
        <v/>
      </c>
      <c r="S37" s="2" t="str">
        <f t="shared" si="18"/>
        <v/>
      </c>
      <c r="T37" s="2" t="str">
        <f t="shared" si="19"/>
        <v/>
      </c>
      <c r="U37" s="2" t="str">
        <f t="shared" si="20"/>
        <v/>
      </c>
      <c r="V37" s="2" t="str">
        <f t="shared" si="21"/>
        <v/>
      </c>
      <c r="W37" s="2" t="str">
        <f t="shared" si="22"/>
        <v/>
      </c>
      <c r="X37" s="2" t="str" cm="1">
        <f t="array" ref="X37">IF((SUMPRODUCT(--ISNUMBER(SEARCH({"!","@","#","$","%","^","&amp;","~*","(",")","_","+","=","{","}","[","]","|","\",":",";","'","""","&lt;","&gt;",",",".","~?","/","~~","`"}, I37)))&gt;0)=TRUE,"Special Characters Found in City","")</f>
        <v/>
      </c>
      <c r="Y37" s="2" t="str" cm="1">
        <f t="array" ref="Y37">IF((SUMPRODUCT(--ISNUMBER(SEARCH({"!","@","#","$","%","^","~*","(",")","_","+","=","{","}","[","]","|","\",":",";","'","""","&lt;","&gt;","~?","/","~~","`"},F37)))&gt;0)=TRUE,"Special Characters Found in Account field","")</f>
        <v/>
      </c>
      <c r="Z37" s="2" t="str" cm="1">
        <f t="array" ref="Z37">IF(SUM(--ISNUMBER(SEARCH({1,2,3,4,5,6,7,8,9,0},MID(H37,(SEARCH(" E ",H37)-1),1))))+SUM(--ISNUMBER(SEARCH({1,2,3,4,5,6,7,8,9,0},MID(H37,(SEARCH(" E ",H37)+3),1))))=2,"",IF(SUM(--ISNUMBER(SEARCH({"Parte E","Apoquindo N"},H37)))&gt;0,"",IF(OR(RIGHT(H37,3)=" NE",RIGHT(H37,3)=" NW",RIGHT(H37,3)=" SW",RIGHT(H37,3)=" SE",RIGHT(H37,2)=" N",RIGHT(H37,2)=" E",RIGHT(H37,2)=" W",RIGHT(H37,2)=" S",LEFT(H37,3)="NE ",LEFT(H37,3)="NW ",LEFT(H37,3)="SW ",LEFT(H37,3)="SE ",LEFT(H37,2)="N ",LEFT(H37,2)="E ",LEFT(H37,2)="W ",LEFT(H37,2)="S "),"Directional Check",IF(SUM(--ISNUMBER(SEARCH({" N "," E "," W "," S "," NE "," NW "," SW "," SE ","N.E","N.W","S.W","S.E","E.","N.","S.","W."},H37)))&gt;0,"Directional Check",IF(SUM(--ISNUMBER(SEARCH({1,2,3,4,5,6,7,8,9,0},MID(H37,(SEARCH("nd ",H37)-1),1))))+SUM(--ISNUMBER(SEARCH({1,2,3,4,5,6,7,8,9,0},MID(H37,(SEARCH("rd ",H37)-1),1)))+SUM(--ISNUMBER(SEARCH({1,2,3,4,5,6,7,8,9,0},MID(H37,(SEARCH("st ",H37)-1),1))))+SUM(--ISNUMBER(SEARCH({1,2,3,4,5,6,7,8,9,0},MID(H37,(SEARCH("th ",H37)-1),1)))))&gt;0,"","")))))</f>
        <v/>
      </c>
      <c r="AA37" s="2" t="str">
        <f>IF(IF(L37="US",IFERROR(VLOOKUP(J37,'Country Codes'!$B:$B,1,0)=J37,"US State Code Error"),IF(L37="CA",IFERROR(VLOOKUP(J37,'Country Codes'!$E:$E,1,0)=J37,"Canada State Code Error"),IF(L37="BR",IFERROR(VLOOKUP(J37,'Country Codes'!$H:$H,1,0)=J37,"Brazil State Code Error"),IF(L37="AU",IFERROR(VLOOKUP(J37,'Country Codes'!$K:$K,1,0)=J37,"Australia State Code Error"),""))))=TRUE,"",IF(L37="US",IFERROR(VLOOKUP(J37,'Country Codes'!$B:$B,1,0)=J37,"US State Code Error"),IF(L37="CA",IFERROR(VLOOKUP(J37,'Country Codes'!$E:$E,1,0)=J37,"Canada State Code Error"),IF(L37="BR",IFERROR(VLOOKUP(J37,'Country Codes'!$H:$H,1,0)=J37,"Brazil State Code Error"),IF(L37="AU",IFERROR(VLOOKUP(J37,'Country Codes'!$K:$K,1,0)=J37,"Australia State Code Error"),"")))))</f>
        <v/>
      </c>
      <c r="AB37" s="2" t="str">
        <f t="shared" si="23"/>
        <v/>
      </c>
      <c r="AC37" s="2" t="str" cm="1">
        <f t="array" ref="AC37">IFERROR(_xlfn.IFS(IF(AND(LEN(I37)=0,ISBLANK(I37)=FALSE),"",ISNUMBER(SEARCH(I37,H37))),"City/Postal Code/Country Found in Address",IF(AND(LEN(K37)=0,ISBLANK(K37)=FALSE),"",ISNUMBER(SEARCH(K37,H37))),"City/Postal Code/Country Found in Address",IF(AND(LEN(L37)=0,ISBLANK(L37)=FALSE),"",ISNUMBER(SEARCH(", "&amp;L37,H37))),"City/Postal Code/Country Found in Address",IF(AND(LEN(J37)=0,ISBLANK(J37)=FALSE),"",ISNUMBER(SEARCH(", "&amp;J37,H37))),"City/Postal Code/Country Found in Address",IF(AND(LEN(L37)=0,ISBLANK(L37)=FALSE),"",ISNUMBER(SEARCH(","&amp;L37,H37))),"City/Postal Code/Country Found in Address",IF(AND(LEN(J37)=0,ISBLANK(J37)=FALSE),"",ISNUMBER(SEARCH(","&amp;J37,H37))),"City/Postal Code/Country Found in Address"),"")</f>
        <v/>
      </c>
      <c r="AD37" s="2" t="str">
        <f t="shared" si="24"/>
        <v/>
      </c>
      <c r="AE37" s="2" t="str" cm="1">
        <f t="array" ref="AE37">IFERROR(IF(VLOOKUP(LEFT(M37,MIN(SEARCH({1,2,3,4,5,6,7,8,9,0},M37&amp;{1,2,3,4,5,6,7,8,9,0}))-1),'Country Codes'!$N:$N,1,0)&gt;0,"PO Number may be incorrect",""),"")</f>
        <v/>
      </c>
      <c r="AF37" s="2" t="str">
        <f t="shared" si="25"/>
        <v/>
      </c>
      <c r="AG37" s="2" t="str">
        <f t="shared" si="26"/>
        <v/>
      </c>
      <c r="AH37" s="2" t="str">
        <f t="shared" si="27"/>
        <v/>
      </c>
      <c r="AI37" s="2" t="str" cm="1">
        <f t="array" ref="AI37">IF(G37="","",_xlfn.IFNA(_xlfn.IFS(L37=VLOOKUP(L37,'Country Codes'!$M:$M,1,0)=TRUE,""),"Please check the country code"))</f>
        <v/>
      </c>
      <c r="AJ37" s="2" t="str">
        <f t="shared" si="11"/>
        <v/>
      </c>
      <c r="AK37" s="2"/>
      <c r="AM37" s="43">
        <f t="shared" si="12"/>
        <v>0</v>
      </c>
      <c r="AN37" s="43">
        <f t="shared" si="13"/>
        <v>0</v>
      </c>
      <c r="AO37" s="43">
        <f t="shared" si="14"/>
        <v>0</v>
      </c>
      <c r="AP37" s="43">
        <f t="shared" si="15"/>
        <v>0</v>
      </c>
      <c r="AQ37" s="43">
        <f t="shared" si="16"/>
        <v>0</v>
      </c>
    </row>
    <row r="38" spans="1:43" ht="15.75" x14ac:dyDescent="0.25">
      <c r="A38" s="16" t="s">
        <v>465</v>
      </c>
      <c r="B38" s="11" t="s">
        <v>483</v>
      </c>
      <c r="C38" s="11" t="s">
        <v>11</v>
      </c>
      <c r="D38" s="11" t="s">
        <v>489</v>
      </c>
      <c r="E38" s="11" t="s">
        <v>490</v>
      </c>
      <c r="F38" s="11" t="s">
        <v>540</v>
      </c>
      <c r="G38" s="11" t="s">
        <v>503</v>
      </c>
      <c r="H38" s="11" t="s">
        <v>545</v>
      </c>
      <c r="I38" s="11" t="s">
        <v>458</v>
      </c>
      <c r="J38" s="11" t="s">
        <v>47</v>
      </c>
      <c r="K38" s="11" t="s">
        <v>466</v>
      </c>
      <c r="L38" s="11" t="s">
        <v>33</v>
      </c>
      <c r="M38" s="11" t="s">
        <v>30</v>
      </c>
      <c r="N38" s="11" t="s">
        <v>30</v>
      </c>
      <c r="O38" s="11" t="s">
        <v>516</v>
      </c>
      <c r="P38" s="11" t="s">
        <v>30</v>
      </c>
      <c r="Q38" s="7"/>
      <c r="R38" s="2" t="str">
        <f t="shared" si="17"/>
        <v>Unique Record</v>
      </c>
      <c r="S38" s="2" t="str">
        <f t="shared" si="18"/>
        <v/>
      </c>
      <c r="T38" s="2" t="str">
        <f t="shared" si="19"/>
        <v/>
      </c>
      <c r="U38" s="2" t="str">
        <f t="shared" si="20"/>
        <v/>
      </c>
      <c r="V38" s="2" t="str">
        <f t="shared" si="21"/>
        <v/>
      </c>
      <c r="W38" s="2" t="str">
        <f t="shared" si="22"/>
        <v/>
      </c>
      <c r="X38" s="2" t="str" cm="1">
        <f t="array" ref="X38">IF((SUMPRODUCT(--ISNUMBER(SEARCH({"!","@","#","$","%","^","&amp;","~*","(",")","_","+","=","{","}","[","]","|","\",":",";","'","""","&lt;","&gt;",",",".","~?","/","~~","`"}, I38)))&gt;0)=TRUE,"Special Characters Found in City","")</f>
        <v/>
      </c>
      <c r="Y38" s="2" t="str" cm="1">
        <f t="array" ref="Y38">IF((SUMPRODUCT(--ISNUMBER(SEARCH({"!","@","#","$","%","^","~*","(",")","_","+","=","{","}","[","]","|","\",":",";","'","""","&lt;","&gt;","~?","/","~~","`"},F38)))&gt;0)=TRUE,"Special Characters Found in Account field","")</f>
        <v/>
      </c>
      <c r="Z38" s="2" t="str" cm="1">
        <f t="array" ref="Z38">IF(SUM(--ISNUMBER(SEARCH({1,2,3,4,5,6,7,8,9,0},MID(H38,(SEARCH(" E ",H38)-1),1))))+SUM(--ISNUMBER(SEARCH({1,2,3,4,5,6,7,8,9,0},MID(H38,(SEARCH(" E ",H38)+3),1))))=2,"",IF(SUM(--ISNUMBER(SEARCH({"Parte E","Apoquindo N"},H38)))&gt;0,"",IF(OR(RIGHT(H38,3)=" NE",RIGHT(H38,3)=" NW",RIGHT(H38,3)=" SW",RIGHT(H38,3)=" SE",RIGHT(H38,2)=" N",RIGHT(H38,2)=" E",RIGHT(H38,2)=" W",RIGHT(H38,2)=" S",LEFT(H38,3)="NE ",LEFT(H38,3)="NW ",LEFT(H38,3)="SW ",LEFT(H38,3)="SE ",LEFT(H38,2)="N ",LEFT(H38,2)="E ",LEFT(H38,2)="W ",LEFT(H38,2)="S "),"Directional Check",IF(SUM(--ISNUMBER(SEARCH({" N "," E "," W "," S "," NE "," NW "," SW "," SE ","N.E","N.W","S.W","S.E","E.","N.","S.","W."},H38)))&gt;0,"Directional Check",IF(SUM(--ISNUMBER(SEARCH({1,2,3,4,5,6,7,8,9,0},MID(H38,(SEARCH("nd ",H38)-1),1))))+SUM(--ISNUMBER(SEARCH({1,2,3,4,5,6,7,8,9,0},MID(H38,(SEARCH("rd ",H38)-1),1)))+SUM(--ISNUMBER(SEARCH({1,2,3,4,5,6,7,8,9,0},MID(H38,(SEARCH("st ",H38)-1),1))))+SUM(--ISNUMBER(SEARCH({1,2,3,4,5,6,7,8,9,0},MID(H38,(SEARCH("th ",H38)-1),1)))))&gt;0,"","")))))</f>
        <v/>
      </c>
      <c r="AA38" s="2" t="str">
        <f>IF(IF(L38="US",IFERROR(VLOOKUP(J38,'Country Codes'!$B:$B,1,0)=J38,"US State Code Error"),IF(L38="CA",IFERROR(VLOOKUP(J38,'Country Codes'!$E:$E,1,0)=J38,"Canada State Code Error"),IF(L38="BR",IFERROR(VLOOKUP(J38,'Country Codes'!$H:$H,1,0)=J38,"Brazil State Code Error"),IF(L38="AU",IFERROR(VLOOKUP(J38,'Country Codes'!$K:$K,1,0)=J38,"Australia State Code Error"),""))))=TRUE,"",IF(L38="US",IFERROR(VLOOKUP(J38,'Country Codes'!$B:$B,1,0)=J38,"US State Code Error"),IF(L38="CA",IFERROR(VLOOKUP(J38,'Country Codes'!$E:$E,1,0)=J38,"Canada State Code Error"),IF(L38="BR",IFERROR(VLOOKUP(J38,'Country Codes'!$H:$H,1,0)=J38,"Brazil State Code Error"),IF(L38="AU",IFERROR(VLOOKUP(J38,'Country Codes'!$K:$K,1,0)=J38,"Australia State Code Error"),"")))))</f>
        <v/>
      </c>
      <c r="AB38" s="2" t="str">
        <f t="shared" si="23"/>
        <v/>
      </c>
      <c r="AC38" s="2" t="str" cm="1">
        <f t="array" ref="AC38">IFERROR(_xlfn.IFS(IF(AND(LEN(I38)=0,ISBLANK(I38)=FALSE),"",ISNUMBER(SEARCH(I38,H38))),"City/Postal Code/Country Found in Address",IF(AND(LEN(K38)=0,ISBLANK(K38)=FALSE),"",ISNUMBER(SEARCH(K38,H38))),"City/Postal Code/Country Found in Address",IF(AND(LEN(L38)=0,ISBLANK(L38)=FALSE),"",ISNUMBER(SEARCH(", "&amp;L38,H38))),"City/Postal Code/Country Found in Address",IF(AND(LEN(J38)=0,ISBLANK(J38)=FALSE),"",ISNUMBER(SEARCH(", "&amp;J38,H38))),"City/Postal Code/Country Found in Address",IF(AND(LEN(L38)=0,ISBLANK(L38)=FALSE),"",ISNUMBER(SEARCH(","&amp;L38,H38))),"City/Postal Code/Country Found in Address",IF(AND(LEN(J38)=0,ISBLANK(J38)=FALSE),"",ISNUMBER(SEARCH(","&amp;J38,H38))),"City/Postal Code/Country Found in Address"),"")</f>
        <v/>
      </c>
      <c r="AD38" s="2" t="str">
        <f t="shared" si="24"/>
        <v/>
      </c>
      <c r="AE38" s="2" t="str" cm="1">
        <f t="array" ref="AE38">IFERROR(IF(VLOOKUP(LEFT(M38,MIN(SEARCH({1,2,3,4,5,6,7,8,9,0},M38&amp;{1,2,3,4,5,6,7,8,9,0}))-1),'Country Codes'!$N:$N,1,0)&gt;0,"PO Number may be incorrect",""),"")</f>
        <v/>
      </c>
      <c r="AF38" s="2" t="str">
        <f t="shared" si="25"/>
        <v/>
      </c>
      <c r="AG38" s="2" t="str">
        <f t="shared" si="26"/>
        <v/>
      </c>
      <c r="AH38" s="2" t="str">
        <f t="shared" si="27"/>
        <v/>
      </c>
      <c r="AI38" s="2" t="str" cm="1">
        <f t="array" ref="AI38">IF(G38="","",_xlfn.IFNA(_xlfn.IFS(L38=VLOOKUP(L38,'Country Codes'!$M:$M,1,0)=TRUE,""),"Please check the country code"))</f>
        <v/>
      </c>
      <c r="AJ38" s="2" t="str">
        <f t="shared" si="11"/>
        <v/>
      </c>
      <c r="AK38" s="2"/>
      <c r="AM38" s="43">
        <f t="shared" si="12"/>
        <v>0</v>
      </c>
      <c r="AN38" s="43">
        <f t="shared" si="13"/>
        <v>0</v>
      </c>
      <c r="AO38" s="43">
        <f t="shared" si="14"/>
        <v>0</v>
      </c>
      <c r="AP38" s="43">
        <f t="shared" si="15"/>
        <v>0</v>
      </c>
      <c r="AQ38" s="43">
        <f t="shared" si="16"/>
        <v>0</v>
      </c>
    </row>
    <row r="39" spans="1:43" ht="15.75" x14ac:dyDescent="0.25">
      <c r="A39" s="16" t="s">
        <v>467</v>
      </c>
      <c r="B39" s="11" t="s">
        <v>482</v>
      </c>
      <c r="C39" s="11" t="s">
        <v>11</v>
      </c>
      <c r="D39" s="11" t="s">
        <v>491</v>
      </c>
      <c r="E39" s="11" t="s">
        <v>492</v>
      </c>
      <c r="F39" s="11" t="s">
        <v>497</v>
      </c>
      <c r="G39" s="11" t="s">
        <v>504</v>
      </c>
      <c r="H39" s="11" t="s">
        <v>510</v>
      </c>
      <c r="I39" s="11" t="s">
        <v>468</v>
      </c>
      <c r="J39" s="11" t="s">
        <v>161</v>
      </c>
      <c r="K39" s="11" t="s">
        <v>469</v>
      </c>
      <c r="L39" s="11" t="s">
        <v>57</v>
      </c>
      <c r="M39" s="11">
        <v>5600004</v>
      </c>
      <c r="N39" s="11" t="s">
        <v>30</v>
      </c>
      <c r="O39" s="11" t="s">
        <v>517</v>
      </c>
      <c r="P39" s="11" t="s">
        <v>30</v>
      </c>
      <c r="Q39" s="7"/>
      <c r="R39" s="2" t="str">
        <f t="shared" si="17"/>
        <v>Unique Record</v>
      </c>
      <c r="S39" s="2" t="str">
        <f t="shared" si="18"/>
        <v/>
      </c>
      <c r="T39" s="2" t="str">
        <f t="shared" si="19"/>
        <v/>
      </c>
      <c r="U39" s="2" t="str">
        <f t="shared" si="20"/>
        <v/>
      </c>
      <c r="V39" s="2" t="str">
        <f t="shared" si="21"/>
        <v/>
      </c>
      <c r="W39" s="2" t="str">
        <f t="shared" si="22"/>
        <v/>
      </c>
      <c r="X39" s="2" t="str" cm="1">
        <f t="array" ref="X39">IF((SUMPRODUCT(--ISNUMBER(SEARCH({"!","@","#","$","%","^","&amp;","~*","(",")","_","+","=","{","}","[","]","|","\",":",";","'","""","&lt;","&gt;",",",".","~?","/","~~","`"}, I39)))&gt;0)=TRUE,"Special Characters Found in City","")</f>
        <v/>
      </c>
      <c r="Y39" s="2" t="str" cm="1">
        <f t="array" ref="Y39">IF((SUMPRODUCT(--ISNUMBER(SEARCH({"!","@","#","$","%","^","~*","(",")","_","+","=","{","}","[","]","|","\",":",";","'","""","&lt;","&gt;","~?","/","~~","`"},F39)))&gt;0)=TRUE,"Special Characters Found in Account field","")</f>
        <v/>
      </c>
      <c r="Z39" s="2" t="str" cm="1">
        <f t="array" ref="Z39">IF(SUM(--ISNUMBER(SEARCH({1,2,3,4,5,6,7,8,9,0},MID(H39,(SEARCH(" E ",H39)-1),1))))+SUM(--ISNUMBER(SEARCH({1,2,3,4,5,6,7,8,9,0},MID(H39,(SEARCH(" E ",H39)+3),1))))=2,"",IF(SUM(--ISNUMBER(SEARCH({"Parte E","Apoquindo N"},H39)))&gt;0,"",IF(OR(RIGHT(H39,3)=" NE",RIGHT(H39,3)=" NW",RIGHT(H39,3)=" SW",RIGHT(H39,3)=" SE",RIGHT(H39,2)=" N",RIGHT(H39,2)=" E",RIGHT(H39,2)=" W",RIGHT(H39,2)=" S",LEFT(H39,3)="NE ",LEFT(H39,3)="NW ",LEFT(H39,3)="SW ",LEFT(H39,3)="SE ",LEFT(H39,2)="N ",LEFT(H39,2)="E ",LEFT(H39,2)="W ",LEFT(H39,2)="S "),"Directional Check",IF(SUM(--ISNUMBER(SEARCH({" N "," E "," W "," S "," NE "," NW "," SW "," SE ","N.E","N.W","S.W","S.E","E.","N.","S.","W."},H39)))&gt;0,"Directional Check",IF(SUM(--ISNUMBER(SEARCH({1,2,3,4,5,6,7,8,9,0},MID(H39,(SEARCH("nd ",H39)-1),1))))+SUM(--ISNUMBER(SEARCH({1,2,3,4,5,6,7,8,9,0},MID(H39,(SEARCH("rd ",H39)-1),1)))+SUM(--ISNUMBER(SEARCH({1,2,3,4,5,6,7,8,9,0},MID(H39,(SEARCH("st ",H39)-1),1))))+SUM(--ISNUMBER(SEARCH({1,2,3,4,5,6,7,8,9,0},MID(H39,(SEARCH("th ",H39)-1),1)))))&gt;0,"","")))))</f>
        <v/>
      </c>
      <c r="AA39" s="2" t="str">
        <f>IF(IF(L39="US",IFERROR(VLOOKUP(J39,'Country Codes'!$B:$B,1,0)=J39,"US State Code Error"),IF(L39="CA",IFERROR(VLOOKUP(J39,'Country Codes'!$E:$E,1,0)=J39,"Canada State Code Error"),IF(L39="BR",IFERROR(VLOOKUP(J39,'Country Codes'!$H:$H,1,0)=J39,"Brazil State Code Error"),IF(L39="AU",IFERROR(VLOOKUP(J39,'Country Codes'!$K:$K,1,0)=J39,"Australia State Code Error"),""))))=TRUE,"",IF(L39="US",IFERROR(VLOOKUP(J39,'Country Codes'!$B:$B,1,0)=J39,"US State Code Error"),IF(L39="CA",IFERROR(VLOOKUP(J39,'Country Codes'!$E:$E,1,0)=J39,"Canada State Code Error"),IF(L39="BR",IFERROR(VLOOKUP(J39,'Country Codes'!$H:$H,1,0)=J39,"Brazil State Code Error"),IF(L39="AU",IFERROR(VLOOKUP(J39,'Country Codes'!$K:$K,1,0)=J39,"Australia State Code Error"),"")))))</f>
        <v/>
      </c>
      <c r="AB39" s="2" t="str">
        <f t="shared" si="23"/>
        <v/>
      </c>
      <c r="AC39" s="2" t="str" cm="1">
        <f t="array" ref="AC39">IFERROR(_xlfn.IFS(IF(AND(LEN(I39)=0,ISBLANK(I39)=FALSE),"",ISNUMBER(SEARCH(I39,H39))),"City/Postal Code/Country Found in Address",IF(AND(LEN(K39)=0,ISBLANK(K39)=FALSE),"",ISNUMBER(SEARCH(K39,H39))),"City/Postal Code/Country Found in Address",IF(AND(LEN(L39)=0,ISBLANK(L39)=FALSE),"",ISNUMBER(SEARCH(", "&amp;L39,H39))),"City/Postal Code/Country Found in Address",IF(AND(LEN(J39)=0,ISBLANK(J39)=FALSE),"",ISNUMBER(SEARCH(", "&amp;J39,H39))),"City/Postal Code/Country Found in Address",IF(AND(LEN(L39)=0,ISBLANK(L39)=FALSE),"",ISNUMBER(SEARCH(","&amp;L39,H39))),"City/Postal Code/Country Found in Address",IF(AND(LEN(J39)=0,ISBLANK(J39)=FALSE),"",ISNUMBER(SEARCH(","&amp;J39,H39))),"City/Postal Code/Country Found in Address"),"")</f>
        <v/>
      </c>
      <c r="AD39" s="2" t="str">
        <f t="shared" si="24"/>
        <v/>
      </c>
      <c r="AE39" s="2" t="str" cm="1">
        <f t="array" ref="AE39">IFERROR(IF(VLOOKUP(LEFT(M39,MIN(SEARCH({1,2,3,4,5,6,7,8,9,0},M39&amp;{1,2,3,4,5,6,7,8,9,0}))-1),'Country Codes'!$N:$N,1,0)&gt;0,"PO Number may be incorrect",""),"")</f>
        <v/>
      </c>
      <c r="AF39" s="2" t="str">
        <f t="shared" si="25"/>
        <v/>
      </c>
      <c r="AG39" s="2" t="str">
        <f t="shared" si="26"/>
        <v/>
      </c>
      <c r="AH39" s="2" t="str">
        <f t="shared" si="27"/>
        <v/>
      </c>
      <c r="AI39" s="2" t="str" cm="1">
        <f t="array" ref="AI39">IF(G39="","",_xlfn.IFNA(_xlfn.IFS(L39=VLOOKUP(L39,'Country Codes'!$M:$M,1,0)=TRUE,""),"Please check the country code"))</f>
        <v/>
      </c>
      <c r="AJ39" s="2" t="str">
        <f t="shared" si="11"/>
        <v/>
      </c>
      <c r="AK39" s="2"/>
      <c r="AM39" s="43">
        <f t="shared" si="12"/>
        <v>0</v>
      </c>
      <c r="AN39" s="43">
        <f t="shared" si="13"/>
        <v>0</v>
      </c>
      <c r="AO39" s="43">
        <f t="shared" si="14"/>
        <v>0</v>
      </c>
      <c r="AP39" s="43">
        <f t="shared" si="15"/>
        <v>0</v>
      </c>
      <c r="AQ39" s="43">
        <f t="shared" si="16"/>
        <v>0</v>
      </c>
    </row>
    <row r="40" spans="1:43" ht="15.75" x14ac:dyDescent="0.25">
      <c r="A40" s="16" t="s">
        <v>470</v>
      </c>
      <c r="B40" s="11" t="s">
        <v>484</v>
      </c>
      <c r="C40" s="11" t="s">
        <v>9</v>
      </c>
      <c r="D40" s="11">
        <v>3587</v>
      </c>
      <c r="E40" s="11">
        <v>4490</v>
      </c>
      <c r="F40" s="11" t="s">
        <v>497</v>
      </c>
      <c r="G40" s="11" t="s">
        <v>504</v>
      </c>
      <c r="H40" s="11" t="s">
        <v>510</v>
      </c>
      <c r="I40" s="11" t="s">
        <v>468</v>
      </c>
      <c r="J40" s="11" t="s">
        <v>161</v>
      </c>
      <c r="K40" s="11" t="s">
        <v>469</v>
      </c>
      <c r="L40" s="11" t="s">
        <v>57</v>
      </c>
      <c r="M40" s="11">
        <v>5600004</v>
      </c>
      <c r="N40" s="11" t="s">
        <v>30</v>
      </c>
      <c r="O40" s="11" t="s">
        <v>517</v>
      </c>
      <c r="P40" s="11" t="s">
        <v>30</v>
      </c>
      <c r="Q40" s="7"/>
      <c r="R40" s="2" t="str">
        <f t="shared" si="17"/>
        <v/>
      </c>
      <c r="S40" s="2" t="str">
        <f t="shared" si="18"/>
        <v/>
      </c>
      <c r="T40" s="2" t="str">
        <f t="shared" si="19"/>
        <v/>
      </c>
      <c r="U40" s="2" t="str">
        <f t="shared" si="20"/>
        <v/>
      </c>
      <c r="V40" s="2" t="str">
        <f t="shared" si="21"/>
        <v/>
      </c>
      <c r="W40" s="2" t="str">
        <f t="shared" si="22"/>
        <v/>
      </c>
      <c r="X40" s="2" t="str" cm="1">
        <f t="array" ref="X40">IF((SUMPRODUCT(--ISNUMBER(SEARCH({"!","@","#","$","%","^","&amp;","~*","(",")","_","+","=","{","}","[","]","|","\",":",";","'","""","&lt;","&gt;",",",".","~?","/","~~","`"}, I40)))&gt;0)=TRUE,"Special Characters Found in City","")</f>
        <v/>
      </c>
      <c r="Y40" s="2" t="str" cm="1">
        <f t="array" ref="Y40">IF((SUMPRODUCT(--ISNUMBER(SEARCH({"!","@","#","$","%","^","~*","(",")","_","+","=","{","}","[","]","|","\",":",";","'","""","&lt;","&gt;","~?","/","~~","`"},F40)))&gt;0)=TRUE,"Special Characters Found in Account field","")</f>
        <v/>
      </c>
      <c r="Z40" s="2" t="str" cm="1">
        <f t="array" ref="Z40">IF(SUM(--ISNUMBER(SEARCH({1,2,3,4,5,6,7,8,9,0},MID(H40,(SEARCH(" E ",H40)-1),1))))+SUM(--ISNUMBER(SEARCH({1,2,3,4,5,6,7,8,9,0},MID(H40,(SEARCH(" E ",H40)+3),1))))=2,"",IF(SUM(--ISNUMBER(SEARCH({"Parte E","Apoquindo N"},H40)))&gt;0,"",IF(OR(RIGHT(H40,3)=" NE",RIGHT(H40,3)=" NW",RIGHT(H40,3)=" SW",RIGHT(H40,3)=" SE",RIGHT(H40,2)=" N",RIGHT(H40,2)=" E",RIGHT(H40,2)=" W",RIGHT(H40,2)=" S",LEFT(H40,3)="NE ",LEFT(H40,3)="NW ",LEFT(H40,3)="SW ",LEFT(H40,3)="SE ",LEFT(H40,2)="N ",LEFT(H40,2)="E ",LEFT(H40,2)="W ",LEFT(H40,2)="S "),"Directional Check",IF(SUM(--ISNUMBER(SEARCH({" N "," E "," W "," S "," NE "," NW "," SW "," SE ","N.E","N.W","S.W","S.E","E.","N.","S.","W."},H40)))&gt;0,"Directional Check",IF(SUM(--ISNUMBER(SEARCH({1,2,3,4,5,6,7,8,9,0},MID(H40,(SEARCH("nd ",H40)-1),1))))+SUM(--ISNUMBER(SEARCH({1,2,3,4,5,6,7,8,9,0},MID(H40,(SEARCH("rd ",H40)-1),1)))+SUM(--ISNUMBER(SEARCH({1,2,3,4,5,6,7,8,9,0},MID(H40,(SEARCH("st ",H40)-1),1))))+SUM(--ISNUMBER(SEARCH({1,2,3,4,5,6,7,8,9,0},MID(H40,(SEARCH("th ",H40)-1),1)))))&gt;0,"","")))))</f>
        <v/>
      </c>
      <c r="AA40" s="2" t="str">
        <f>IF(IF(L40="US",IFERROR(VLOOKUP(J40,'Country Codes'!$B:$B,1,0)=J40,"US State Code Error"),IF(L40="CA",IFERROR(VLOOKUP(J40,'Country Codes'!$E:$E,1,0)=J40,"Canada State Code Error"),IF(L40="BR",IFERROR(VLOOKUP(J40,'Country Codes'!$H:$H,1,0)=J40,"Brazil State Code Error"),IF(L40="AU",IFERROR(VLOOKUP(J40,'Country Codes'!$K:$K,1,0)=J40,"Australia State Code Error"),""))))=TRUE,"",IF(L40="US",IFERROR(VLOOKUP(J40,'Country Codes'!$B:$B,1,0)=J40,"US State Code Error"),IF(L40="CA",IFERROR(VLOOKUP(J40,'Country Codes'!$E:$E,1,0)=J40,"Canada State Code Error"),IF(L40="BR",IFERROR(VLOOKUP(J40,'Country Codes'!$H:$H,1,0)=J40,"Brazil State Code Error"),IF(L40="AU",IFERROR(VLOOKUP(J40,'Country Codes'!$K:$K,1,0)=J40,"Australia State Code Error"),"")))))</f>
        <v/>
      </c>
      <c r="AB40" s="2" t="str">
        <f t="shared" si="23"/>
        <v/>
      </c>
      <c r="AC40" s="2" t="str" cm="1">
        <f t="array" ref="AC40">IFERROR(_xlfn.IFS(IF(AND(LEN(I40)=0,ISBLANK(I40)=FALSE),"",ISNUMBER(SEARCH(I40,H40))),"City/Postal Code/Country Found in Address",IF(AND(LEN(K40)=0,ISBLANK(K40)=FALSE),"",ISNUMBER(SEARCH(K40,H40))),"City/Postal Code/Country Found in Address",IF(AND(LEN(L40)=0,ISBLANK(L40)=FALSE),"",ISNUMBER(SEARCH(", "&amp;L40,H40))),"City/Postal Code/Country Found in Address",IF(AND(LEN(J40)=0,ISBLANK(J40)=FALSE),"",ISNUMBER(SEARCH(", "&amp;J40,H40))),"City/Postal Code/Country Found in Address",IF(AND(LEN(L40)=0,ISBLANK(L40)=FALSE),"",ISNUMBER(SEARCH(","&amp;L40,H40))),"City/Postal Code/Country Found in Address",IF(AND(LEN(J40)=0,ISBLANK(J40)=FALSE),"",ISNUMBER(SEARCH(","&amp;J40,H40))),"City/Postal Code/Country Found in Address"),"")</f>
        <v/>
      </c>
      <c r="AD40" s="2" t="str">
        <f t="shared" si="24"/>
        <v/>
      </c>
      <c r="AE40" s="2" t="str" cm="1">
        <f t="array" ref="AE40">IFERROR(IF(VLOOKUP(LEFT(M40,MIN(SEARCH({1,2,3,4,5,6,7,8,9,0},M40&amp;{1,2,3,4,5,6,7,8,9,0}))-1),'Country Codes'!$N:$N,1,0)&gt;0,"PO Number may be incorrect",""),"")</f>
        <v/>
      </c>
      <c r="AF40" s="2" t="str">
        <f t="shared" si="25"/>
        <v/>
      </c>
      <c r="AG40" s="2" t="str">
        <f t="shared" si="26"/>
        <v/>
      </c>
      <c r="AH40" s="2" t="str">
        <f t="shared" si="27"/>
        <v/>
      </c>
      <c r="AI40" s="2" t="str" cm="1">
        <f t="array" ref="AI40">IF(G40="","",_xlfn.IFNA(_xlfn.IFS(L40=VLOOKUP(L40,'Country Codes'!$M:$M,1,0)=TRUE,""),"Please check the country code"))</f>
        <v/>
      </c>
      <c r="AJ40" s="2" t="str">
        <f t="shared" si="11"/>
        <v/>
      </c>
      <c r="AK40" s="2"/>
      <c r="AM40" s="43">
        <f t="shared" si="12"/>
        <v>0</v>
      </c>
      <c r="AN40" s="43">
        <f t="shared" si="13"/>
        <v>0</v>
      </c>
      <c r="AO40" s="43">
        <f t="shared" si="14"/>
        <v>0</v>
      </c>
      <c r="AP40" s="43">
        <f t="shared" si="15"/>
        <v>0</v>
      </c>
      <c r="AQ40" s="43">
        <f t="shared" si="16"/>
        <v>0</v>
      </c>
    </row>
    <row r="41" spans="1:43" ht="15.75" x14ac:dyDescent="0.25">
      <c r="A41" s="16" t="s">
        <v>471</v>
      </c>
      <c r="B41" s="11" t="s">
        <v>482</v>
      </c>
      <c r="C41" s="11" t="s">
        <v>11</v>
      </c>
      <c r="D41" s="11" t="s">
        <v>493</v>
      </c>
      <c r="E41" s="11" t="s">
        <v>494</v>
      </c>
      <c r="F41" s="11" t="s">
        <v>543</v>
      </c>
      <c r="G41" s="11" t="s">
        <v>505</v>
      </c>
      <c r="H41" s="11" t="s">
        <v>511</v>
      </c>
      <c r="I41" s="11" t="s">
        <v>457</v>
      </c>
      <c r="J41" s="11" t="s">
        <v>107</v>
      </c>
      <c r="K41" s="11" t="s">
        <v>472</v>
      </c>
      <c r="L41" s="11" t="s">
        <v>33</v>
      </c>
      <c r="M41" s="11" t="s">
        <v>30</v>
      </c>
      <c r="N41" s="11" t="s">
        <v>30</v>
      </c>
      <c r="O41" s="11" t="s">
        <v>518</v>
      </c>
      <c r="P41" s="11" t="s">
        <v>30</v>
      </c>
      <c r="Q41" s="7"/>
      <c r="R41" s="2" t="str">
        <f t="shared" si="17"/>
        <v>Unique Record</v>
      </c>
      <c r="S41" s="2" t="str">
        <f t="shared" si="18"/>
        <v/>
      </c>
      <c r="T41" s="2" t="str">
        <f t="shared" si="19"/>
        <v/>
      </c>
      <c r="U41" s="2" t="str">
        <f t="shared" si="20"/>
        <v/>
      </c>
      <c r="V41" s="2" t="str">
        <f t="shared" si="21"/>
        <v/>
      </c>
      <c r="W41" s="2" t="str">
        <f t="shared" si="22"/>
        <v/>
      </c>
      <c r="X41" s="2" t="str" cm="1">
        <f t="array" ref="X41">IF((SUMPRODUCT(--ISNUMBER(SEARCH({"!","@","#","$","%","^","&amp;","~*","(",")","_","+","=","{","}","[","]","|","\",":",";","'","""","&lt;","&gt;",",",".","~?","/","~~","`"}, I41)))&gt;0)=TRUE,"Special Characters Found in City","")</f>
        <v/>
      </c>
      <c r="Y41" s="2" t="str" cm="1">
        <f t="array" ref="Y41">IF((SUMPRODUCT(--ISNUMBER(SEARCH({"!","@","#","$","%","^","~*","(",")","_","+","=","{","}","[","]","|","\",":",";","'","""","&lt;","&gt;","~?","/","~~","`"},F41)))&gt;0)=TRUE,"Special Characters Found in Account field","")</f>
        <v/>
      </c>
      <c r="Z41" s="2" t="str" cm="1">
        <f t="array" ref="Z41">IF(SUM(--ISNUMBER(SEARCH({1,2,3,4,5,6,7,8,9,0},MID(H41,(SEARCH(" E ",H41)-1),1))))+SUM(--ISNUMBER(SEARCH({1,2,3,4,5,6,7,8,9,0},MID(H41,(SEARCH(" E ",H41)+3),1))))=2,"",IF(SUM(--ISNUMBER(SEARCH({"Parte E","Apoquindo N"},H41)))&gt;0,"",IF(OR(RIGHT(H41,3)=" NE",RIGHT(H41,3)=" NW",RIGHT(H41,3)=" SW",RIGHT(H41,3)=" SE",RIGHT(H41,2)=" N",RIGHT(H41,2)=" E",RIGHT(H41,2)=" W",RIGHT(H41,2)=" S",LEFT(H41,3)="NE ",LEFT(H41,3)="NW ",LEFT(H41,3)="SW ",LEFT(H41,3)="SE ",LEFT(H41,2)="N ",LEFT(H41,2)="E ",LEFT(H41,2)="W ",LEFT(H41,2)="S "),"Directional Check",IF(SUM(--ISNUMBER(SEARCH({" N "," E "," W "," S "," NE "," NW "," SW "," SE ","N.E","N.W","S.W","S.E","E.","N.","S.","W."},H41)))&gt;0,"Directional Check",IF(SUM(--ISNUMBER(SEARCH({1,2,3,4,5,6,7,8,9,0},MID(H41,(SEARCH("nd ",H41)-1),1))))+SUM(--ISNUMBER(SEARCH({1,2,3,4,5,6,7,8,9,0},MID(H41,(SEARCH("rd ",H41)-1),1)))+SUM(--ISNUMBER(SEARCH({1,2,3,4,5,6,7,8,9,0},MID(H41,(SEARCH("st ",H41)-1),1))))+SUM(--ISNUMBER(SEARCH({1,2,3,4,5,6,7,8,9,0},MID(H41,(SEARCH("th ",H41)-1),1)))))&gt;0,"","")))))</f>
        <v/>
      </c>
      <c r="AA41" s="2" t="str">
        <f>IF(IF(L41="US",IFERROR(VLOOKUP(J41,'Country Codes'!$B:$B,1,0)=J41,"US State Code Error"),IF(L41="CA",IFERROR(VLOOKUP(J41,'Country Codes'!$E:$E,1,0)=J41,"Canada State Code Error"),IF(L41="BR",IFERROR(VLOOKUP(J41,'Country Codes'!$H:$H,1,0)=J41,"Brazil State Code Error"),IF(L41="AU",IFERROR(VLOOKUP(J41,'Country Codes'!$K:$K,1,0)=J41,"Australia State Code Error"),""))))=TRUE,"",IF(L41="US",IFERROR(VLOOKUP(J41,'Country Codes'!$B:$B,1,0)=J41,"US State Code Error"),IF(L41="CA",IFERROR(VLOOKUP(J41,'Country Codes'!$E:$E,1,0)=J41,"Canada State Code Error"),IF(L41="BR",IFERROR(VLOOKUP(J41,'Country Codes'!$H:$H,1,0)=J41,"Brazil State Code Error"),IF(L41="AU",IFERROR(VLOOKUP(J41,'Country Codes'!$K:$K,1,0)=J41,"Australia State Code Error"),"")))))</f>
        <v/>
      </c>
      <c r="AB41" s="2" t="str">
        <f t="shared" si="23"/>
        <v/>
      </c>
      <c r="AC41" s="2" t="str" cm="1">
        <f t="array" ref="AC41">IFERROR(_xlfn.IFS(IF(AND(LEN(I41)=0,ISBLANK(I41)=FALSE),"",ISNUMBER(SEARCH(I41,H41))),"City/Postal Code/Country Found in Address",IF(AND(LEN(K41)=0,ISBLANK(K41)=FALSE),"",ISNUMBER(SEARCH(K41,H41))),"City/Postal Code/Country Found in Address",IF(AND(LEN(L41)=0,ISBLANK(L41)=FALSE),"",ISNUMBER(SEARCH(", "&amp;L41,H41))),"City/Postal Code/Country Found in Address",IF(AND(LEN(J41)=0,ISBLANK(J41)=FALSE),"",ISNUMBER(SEARCH(", "&amp;J41,H41))),"City/Postal Code/Country Found in Address",IF(AND(LEN(L41)=0,ISBLANK(L41)=FALSE),"",ISNUMBER(SEARCH(","&amp;L41,H41))),"City/Postal Code/Country Found in Address",IF(AND(LEN(J41)=0,ISBLANK(J41)=FALSE),"",ISNUMBER(SEARCH(","&amp;J41,H41))),"City/Postal Code/Country Found in Address"),"")</f>
        <v/>
      </c>
      <c r="AD41" s="2" t="str">
        <f t="shared" si="24"/>
        <v/>
      </c>
      <c r="AE41" s="2" t="str" cm="1">
        <f t="array" ref="AE41">IFERROR(IF(VLOOKUP(LEFT(M41,MIN(SEARCH({1,2,3,4,5,6,7,8,9,0},M41&amp;{1,2,3,4,5,6,7,8,9,0}))-1),'Country Codes'!$N:$N,1,0)&gt;0,"PO Number may be incorrect",""),"")</f>
        <v/>
      </c>
      <c r="AF41" s="2" t="str">
        <f t="shared" si="25"/>
        <v/>
      </c>
      <c r="AG41" s="2" t="str">
        <f t="shared" si="26"/>
        <v/>
      </c>
      <c r="AH41" s="2" t="str">
        <f t="shared" si="27"/>
        <v/>
      </c>
      <c r="AI41" s="2" t="str" cm="1">
        <f t="array" ref="AI41">IF(G41="","",_xlfn.IFNA(_xlfn.IFS(L41=VLOOKUP(L41,'Country Codes'!$M:$M,1,0)=TRUE,""),"Please check the country code"))</f>
        <v/>
      </c>
      <c r="AJ41" s="2" t="str">
        <f t="shared" si="11"/>
        <v/>
      </c>
      <c r="AK41" s="2"/>
      <c r="AM41" s="43">
        <f t="shared" si="12"/>
        <v>0</v>
      </c>
      <c r="AN41" s="43">
        <f t="shared" si="13"/>
        <v>0</v>
      </c>
      <c r="AO41" s="43">
        <f t="shared" si="14"/>
        <v>0</v>
      </c>
      <c r="AP41" s="43">
        <f t="shared" si="15"/>
        <v>0</v>
      </c>
      <c r="AQ41" s="43">
        <f t="shared" si="16"/>
        <v>0</v>
      </c>
    </row>
    <row r="42" spans="1:43" ht="15.75" x14ac:dyDescent="0.25">
      <c r="A42" s="16" t="s">
        <v>455</v>
      </c>
      <c r="B42" s="11" t="s">
        <v>482</v>
      </c>
      <c r="C42" s="11" t="s">
        <v>11</v>
      </c>
      <c r="D42" s="11" t="s">
        <v>494</v>
      </c>
      <c r="E42" s="11"/>
      <c r="F42" s="11" t="s">
        <v>498</v>
      </c>
      <c r="G42" s="11" t="s">
        <v>506</v>
      </c>
      <c r="H42" s="11" t="s">
        <v>541</v>
      </c>
      <c r="I42" s="11" t="s">
        <v>453</v>
      </c>
      <c r="J42" s="11" t="s">
        <v>30</v>
      </c>
      <c r="K42" s="11" t="s">
        <v>456</v>
      </c>
      <c r="L42" s="11" t="s">
        <v>46</v>
      </c>
      <c r="M42" s="11" t="s">
        <v>515</v>
      </c>
      <c r="N42" s="11"/>
      <c r="O42" s="11" t="s">
        <v>30</v>
      </c>
      <c r="P42" s="11" t="s">
        <v>517</v>
      </c>
      <c r="Q42" s="7"/>
      <c r="R42" s="2" t="str">
        <f t="shared" si="17"/>
        <v>Unique Record</v>
      </c>
      <c r="S42" s="2" t="str">
        <f t="shared" si="18"/>
        <v/>
      </c>
      <c r="T42" s="2" t="str">
        <f t="shared" si="19"/>
        <v/>
      </c>
      <c r="U42" s="2" t="str">
        <f t="shared" si="20"/>
        <v/>
      </c>
      <c r="V42" s="2" t="str">
        <f t="shared" si="21"/>
        <v/>
      </c>
      <c r="W42" s="2" t="str">
        <f t="shared" si="22"/>
        <v/>
      </c>
      <c r="X42" s="2" t="str" cm="1">
        <f t="array" ref="X42">IF((SUMPRODUCT(--ISNUMBER(SEARCH({"!","@","#","$","%","^","&amp;","~*","(",")","_","+","=","{","}","[","]","|","\",":",";","'","""","&lt;","&gt;",",",".","~?","/","~~","`"}, I42)))&gt;0)=TRUE,"Special Characters Found in City","")</f>
        <v/>
      </c>
      <c r="Y42" s="2" t="str" cm="1">
        <f t="array" ref="Y42">IF((SUMPRODUCT(--ISNUMBER(SEARCH({"!","@","#","$","%","^","~*","(",")","_","+","=","{","}","[","]","|","\",":",";","'","""","&lt;","&gt;","~?","/","~~","`"},F42)))&gt;0)=TRUE,"Special Characters Found in Account field","")</f>
        <v/>
      </c>
      <c r="Z42" s="2" t="str" cm="1">
        <f t="array" ref="Z42">IF(SUM(--ISNUMBER(SEARCH({1,2,3,4,5,6,7,8,9,0},MID(H42,(SEARCH(" E ",H42)-1),1))))+SUM(--ISNUMBER(SEARCH({1,2,3,4,5,6,7,8,9,0},MID(H42,(SEARCH(" E ",H42)+3),1))))=2,"",IF(SUM(--ISNUMBER(SEARCH({"Parte E","Apoquindo N"},H42)))&gt;0,"",IF(OR(RIGHT(H42,3)=" NE",RIGHT(H42,3)=" NW",RIGHT(H42,3)=" SW",RIGHT(H42,3)=" SE",RIGHT(H42,2)=" N",RIGHT(H42,2)=" E",RIGHT(H42,2)=" W",RIGHT(H42,2)=" S",LEFT(H42,3)="NE ",LEFT(H42,3)="NW ",LEFT(H42,3)="SW ",LEFT(H42,3)="SE ",LEFT(H42,2)="N ",LEFT(H42,2)="E ",LEFT(H42,2)="W ",LEFT(H42,2)="S "),"Directional Check",IF(SUM(--ISNUMBER(SEARCH({" N "," E "," W "," S "," NE "," NW "," SW "," SE ","N.E","N.W","S.W","S.E","E.","N.","S.","W."},H42)))&gt;0,"Directional Check",IF(SUM(--ISNUMBER(SEARCH({1,2,3,4,5,6,7,8,9,0},MID(H42,(SEARCH("nd ",H42)-1),1))))+SUM(--ISNUMBER(SEARCH({1,2,3,4,5,6,7,8,9,0},MID(H42,(SEARCH("rd ",H42)-1),1)))+SUM(--ISNUMBER(SEARCH({1,2,3,4,5,6,7,8,9,0},MID(H42,(SEARCH("st ",H42)-1),1))))+SUM(--ISNUMBER(SEARCH({1,2,3,4,5,6,7,8,9,0},MID(H42,(SEARCH("th ",H42)-1),1)))))&gt;0,"","")))))</f>
        <v/>
      </c>
      <c r="AA42" s="2" t="str">
        <f>IF(IF(L42="US",IFERROR(VLOOKUP(J42,'Country Codes'!$B:$B,1,0)=J42,"US State Code Error"),IF(L42="CA",IFERROR(VLOOKUP(J42,'Country Codes'!$E:$E,1,0)=J42,"Canada State Code Error"),IF(L42="BR",IFERROR(VLOOKUP(J42,'Country Codes'!$H:$H,1,0)=J42,"Brazil State Code Error"),IF(L42="AU",IFERROR(VLOOKUP(J42,'Country Codes'!$K:$K,1,0)=J42,"Australia State Code Error"),""))))=TRUE,"",IF(L42="US",IFERROR(VLOOKUP(J42,'Country Codes'!$B:$B,1,0)=J42,"US State Code Error"),IF(L42="CA",IFERROR(VLOOKUP(J42,'Country Codes'!$E:$E,1,0)=J42,"Canada State Code Error"),IF(L42="BR",IFERROR(VLOOKUP(J42,'Country Codes'!$H:$H,1,0)=J42,"Brazil State Code Error"),IF(L42="AU",IFERROR(VLOOKUP(J42,'Country Codes'!$K:$K,1,0)=J42,"Australia State Code Error"),"")))))</f>
        <v/>
      </c>
      <c r="AB42" s="2" t="str">
        <f t="shared" si="23"/>
        <v/>
      </c>
      <c r="AC42" s="2" t="str" cm="1">
        <f t="array" ref="AC42">IFERROR(_xlfn.IFS(IF(AND(LEN(I42)=0,ISBLANK(I42)=FALSE),"",ISNUMBER(SEARCH(I42,H42))),"City/Postal Code/Country Found in Address",IF(AND(LEN(K42)=0,ISBLANK(K42)=FALSE),"",ISNUMBER(SEARCH(K42,H42))),"City/Postal Code/Country Found in Address",IF(AND(LEN(L42)=0,ISBLANK(L42)=FALSE),"",ISNUMBER(SEARCH(", "&amp;L42,H42))),"City/Postal Code/Country Found in Address",IF(AND(LEN(J42)=0,ISBLANK(J42)=FALSE),"",ISNUMBER(SEARCH(", "&amp;J42,H42))),"City/Postal Code/Country Found in Address",IF(AND(LEN(L42)=0,ISBLANK(L42)=FALSE),"",ISNUMBER(SEARCH(","&amp;L42,H42))),"City/Postal Code/Country Found in Address",IF(AND(LEN(J42)=0,ISBLANK(J42)=FALSE),"",ISNUMBER(SEARCH(","&amp;J42,H42))),"City/Postal Code/Country Found in Address"),"")</f>
        <v/>
      </c>
      <c r="AD42" s="2" t="str">
        <f t="shared" si="24"/>
        <v/>
      </c>
      <c r="AE42" s="2" t="str" cm="1">
        <f t="array" ref="AE42">IFERROR(IF(VLOOKUP(LEFT(M42,MIN(SEARCH({1,2,3,4,5,6,7,8,9,0},M42&amp;{1,2,3,4,5,6,7,8,9,0}))-1),'Country Codes'!$N:$N,1,0)&gt;0,"PO Number may be incorrect",""),"")</f>
        <v/>
      </c>
      <c r="AF42" s="2" t="str">
        <f t="shared" si="25"/>
        <v/>
      </c>
      <c r="AG42" s="2" t="str">
        <f t="shared" si="26"/>
        <v/>
      </c>
      <c r="AH42" s="2" t="str">
        <f t="shared" si="27"/>
        <v/>
      </c>
      <c r="AI42" s="2" t="str" cm="1">
        <f t="array" ref="AI42">IF(G42="","",_xlfn.IFNA(_xlfn.IFS(L42=VLOOKUP(L42,'Country Codes'!$M:$M,1,0)=TRUE,""),"Please check the country code"))</f>
        <v/>
      </c>
      <c r="AJ42" s="2" t="str">
        <f t="shared" si="11"/>
        <v/>
      </c>
      <c r="AK42" s="2"/>
      <c r="AM42" s="43">
        <f t="shared" si="12"/>
        <v>0</v>
      </c>
      <c r="AN42" s="43">
        <f t="shared" si="13"/>
        <v>0</v>
      </c>
      <c r="AO42" s="43">
        <f t="shared" si="14"/>
        <v>0</v>
      </c>
      <c r="AP42" s="43">
        <f t="shared" si="15"/>
        <v>0</v>
      </c>
      <c r="AQ42" s="43">
        <f t="shared" si="16"/>
        <v>0</v>
      </c>
    </row>
    <row r="43" spans="1:43" ht="15.75" x14ac:dyDescent="0.25">
      <c r="A43" s="16" t="s">
        <v>455</v>
      </c>
      <c r="B43" s="11" t="s">
        <v>482</v>
      </c>
      <c r="C43" s="11" t="s">
        <v>12</v>
      </c>
      <c r="D43" s="11" t="s">
        <v>30</v>
      </c>
      <c r="E43" s="11" t="s">
        <v>495</v>
      </c>
      <c r="F43" s="11" t="s">
        <v>498</v>
      </c>
      <c r="G43" s="11" t="s">
        <v>506</v>
      </c>
      <c r="H43" s="11" t="s">
        <v>541</v>
      </c>
      <c r="I43" s="11" t="s">
        <v>453</v>
      </c>
      <c r="J43" s="11" t="s">
        <v>30</v>
      </c>
      <c r="K43" s="11" t="s">
        <v>456</v>
      </c>
      <c r="L43" s="11" t="s">
        <v>46</v>
      </c>
      <c r="M43" s="11" t="s">
        <v>515</v>
      </c>
      <c r="N43" s="11"/>
      <c r="O43" s="11" t="s">
        <v>30</v>
      </c>
      <c r="P43" s="11" t="s">
        <v>517</v>
      </c>
      <c r="Q43" s="7"/>
      <c r="R43" s="2" t="str">
        <f t="shared" si="17"/>
        <v/>
      </c>
      <c r="S43" s="2" t="str">
        <f t="shared" si="18"/>
        <v/>
      </c>
      <c r="T43" s="2" t="str">
        <f t="shared" si="19"/>
        <v/>
      </c>
      <c r="U43" s="2" t="str">
        <f t="shared" si="20"/>
        <v/>
      </c>
      <c r="V43" s="2" t="str">
        <f t="shared" si="21"/>
        <v/>
      </c>
      <c r="W43" s="2" t="str">
        <f t="shared" si="22"/>
        <v/>
      </c>
      <c r="X43" s="2" t="str" cm="1">
        <f t="array" ref="X43">IF((SUMPRODUCT(--ISNUMBER(SEARCH({"!","@","#","$","%","^","&amp;","~*","(",")","_","+","=","{","}","[","]","|","\",":",";","'","""","&lt;","&gt;",",",".","~?","/","~~","`"}, I43)))&gt;0)=TRUE,"Special Characters Found in City","")</f>
        <v/>
      </c>
      <c r="Y43" s="2" t="str" cm="1">
        <f t="array" ref="Y43">IF((SUMPRODUCT(--ISNUMBER(SEARCH({"!","@","#","$","%","^","~*","(",")","_","+","=","{","}","[","]","|","\",":",";","'","""","&lt;","&gt;","~?","/","~~","`"},F43)))&gt;0)=TRUE,"Special Characters Found in Account field","")</f>
        <v/>
      </c>
      <c r="Z43" s="2" t="str" cm="1">
        <f t="array" ref="Z43">IF(SUM(--ISNUMBER(SEARCH({1,2,3,4,5,6,7,8,9,0},MID(H43,(SEARCH(" E ",H43)-1),1))))+SUM(--ISNUMBER(SEARCH({1,2,3,4,5,6,7,8,9,0},MID(H43,(SEARCH(" E ",H43)+3),1))))=2,"",IF(SUM(--ISNUMBER(SEARCH({"Parte E","Apoquindo N"},H43)))&gt;0,"",IF(OR(RIGHT(H43,3)=" NE",RIGHT(H43,3)=" NW",RIGHT(H43,3)=" SW",RIGHT(H43,3)=" SE",RIGHT(H43,2)=" N",RIGHT(H43,2)=" E",RIGHT(H43,2)=" W",RIGHT(H43,2)=" S",LEFT(H43,3)="NE ",LEFT(H43,3)="NW ",LEFT(H43,3)="SW ",LEFT(H43,3)="SE ",LEFT(H43,2)="N ",LEFT(H43,2)="E ",LEFT(H43,2)="W ",LEFT(H43,2)="S "),"Directional Check",IF(SUM(--ISNUMBER(SEARCH({" N "," E "," W "," S "," NE "," NW "," SW "," SE ","N.E","N.W","S.W","S.E","E.","N.","S.","W."},H43)))&gt;0,"Directional Check",IF(SUM(--ISNUMBER(SEARCH({1,2,3,4,5,6,7,8,9,0},MID(H43,(SEARCH("nd ",H43)-1),1))))+SUM(--ISNUMBER(SEARCH({1,2,3,4,5,6,7,8,9,0},MID(H43,(SEARCH("rd ",H43)-1),1)))+SUM(--ISNUMBER(SEARCH({1,2,3,4,5,6,7,8,9,0},MID(H43,(SEARCH("st ",H43)-1),1))))+SUM(--ISNUMBER(SEARCH({1,2,3,4,5,6,7,8,9,0},MID(H43,(SEARCH("th ",H43)-1),1)))))&gt;0,"","")))))</f>
        <v/>
      </c>
      <c r="AA43" s="2" t="str">
        <f>IF(IF(L43="US",IFERROR(VLOOKUP(J43,'Country Codes'!$B:$B,1,0)=J43,"US State Code Error"),IF(L43="CA",IFERROR(VLOOKUP(J43,'Country Codes'!$E:$E,1,0)=J43,"Canada State Code Error"),IF(L43="BR",IFERROR(VLOOKUP(J43,'Country Codes'!$H:$H,1,0)=J43,"Brazil State Code Error"),IF(L43="AU",IFERROR(VLOOKUP(J43,'Country Codes'!$K:$K,1,0)=J43,"Australia State Code Error"),""))))=TRUE,"",IF(L43="US",IFERROR(VLOOKUP(J43,'Country Codes'!$B:$B,1,0)=J43,"US State Code Error"),IF(L43="CA",IFERROR(VLOOKUP(J43,'Country Codes'!$E:$E,1,0)=J43,"Canada State Code Error"),IF(L43="BR",IFERROR(VLOOKUP(J43,'Country Codes'!$H:$H,1,0)=J43,"Brazil State Code Error"),IF(L43="AU",IFERROR(VLOOKUP(J43,'Country Codes'!$K:$K,1,0)=J43,"Australia State Code Error"),"")))))</f>
        <v/>
      </c>
      <c r="AB43" s="2" t="str">
        <f t="shared" si="23"/>
        <v/>
      </c>
      <c r="AC43" s="2" t="str" cm="1">
        <f t="array" ref="AC43">IFERROR(_xlfn.IFS(IF(AND(LEN(I43)=0,ISBLANK(I43)=FALSE),"",ISNUMBER(SEARCH(I43,H43))),"City/Postal Code/Country Found in Address",IF(AND(LEN(K43)=0,ISBLANK(K43)=FALSE),"",ISNUMBER(SEARCH(K43,H43))),"City/Postal Code/Country Found in Address",IF(AND(LEN(L43)=0,ISBLANK(L43)=FALSE),"",ISNUMBER(SEARCH(", "&amp;L43,H43))),"City/Postal Code/Country Found in Address",IF(AND(LEN(J43)=0,ISBLANK(J43)=FALSE),"",ISNUMBER(SEARCH(", "&amp;J43,H43))),"City/Postal Code/Country Found in Address",IF(AND(LEN(L43)=0,ISBLANK(L43)=FALSE),"",ISNUMBER(SEARCH(","&amp;L43,H43))),"City/Postal Code/Country Found in Address",IF(AND(LEN(J43)=0,ISBLANK(J43)=FALSE),"",ISNUMBER(SEARCH(","&amp;J43,H43))),"City/Postal Code/Country Found in Address"),"")</f>
        <v/>
      </c>
      <c r="AD43" s="2" t="str">
        <f t="shared" si="24"/>
        <v/>
      </c>
      <c r="AE43" s="2" t="str" cm="1">
        <f t="array" ref="AE43">IFERROR(IF(VLOOKUP(LEFT(M43,MIN(SEARCH({1,2,3,4,5,6,7,8,9,0},M43&amp;{1,2,3,4,5,6,7,8,9,0}))-1),'Country Codes'!$N:$N,1,0)&gt;0,"PO Number may be incorrect",""),"")</f>
        <v/>
      </c>
      <c r="AF43" s="2" t="str">
        <f t="shared" si="25"/>
        <v/>
      </c>
      <c r="AG43" s="2" t="str">
        <f t="shared" si="26"/>
        <v/>
      </c>
      <c r="AH43" s="2" t="str">
        <f t="shared" si="27"/>
        <v/>
      </c>
      <c r="AI43" s="2" t="str" cm="1">
        <f t="array" ref="AI43">IF(G43="","",_xlfn.IFNA(_xlfn.IFS(L43=VLOOKUP(L43,'Country Codes'!$M:$M,1,0)=TRUE,""),"Please check the country code"))</f>
        <v/>
      </c>
      <c r="AJ43" s="2" t="str">
        <f t="shared" si="11"/>
        <v/>
      </c>
      <c r="AK43" s="2"/>
      <c r="AM43" s="43">
        <f t="shared" si="12"/>
        <v>0</v>
      </c>
      <c r="AN43" s="43">
        <f t="shared" si="13"/>
        <v>0</v>
      </c>
      <c r="AO43" s="43">
        <f t="shared" si="14"/>
        <v>0</v>
      </c>
      <c r="AP43" s="43">
        <f t="shared" si="15"/>
        <v>0</v>
      </c>
      <c r="AQ43" s="43">
        <f t="shared" si="16"/>
        <v>0</v>
      </c>
    </row>
    <row r="44" spans="1:43" ht="15.75" x14ac:dyDescent="0.25">
      <c r="A44" s="16" t="s">
        <v>473</v>
      </c>
      <c r="B44" s="11" t="s">
        <v>483</v>
      </c>
      <c r="C44" s="11" t="s">
        <v>11</v>
      </c>
      <c r="D44" s="11" t="s">
        <v>494</v>
      </c>
      <c r="E44" s="11" t="s">
        <v>30</v>
      </c>
      <c r="F44" s="11" t="s">
        <v>499</v>
      </c>
      <c r="G44" s="11" t="s">
        <v>507</v>
      </c>
      <c r="H44" s="11" t="s">
        <v>513</v>
      </c>
      <c r="I44" s="11" t="s">
        <v>474</v>
      </c>
      <c r="J44" s="11" t="s">
        <v>57</v>
      </c>
      <c r="K44" s="11" t="s">
        <v>475</v>
      </c>
      <c r="L44" s="11" t="s">
        <v>33</v>
      </c>
      <c r="M44" s="11" t="s">
        <v>30</v>
      </c>
      <c r="N44" s="11" t="s">
        <v>30</v>
      </c>
      <c r="O44" s="11" t="s">
        <v>30</v>
      </c>
      <c r="P44" s="11" t="s">
        <v>452</v>
      </c>
      <c r="Q44" s="7"/>
      <c r="R44" s="2" t="str">
        <f t="shared" si="17"/>
        <v>Unique Record</v>
      </c>
      <c r="S44" s="2" t="str">
        <f t="shared" si="18"/>
        <v/>
      </c>
      <c r="T44" s="2" t="str">
        <f t="shared" si="19"/>
        <v/>
      </c>
      <c r="U44" s="2" t="str">
        <f t="shared" si="20"/>
        <v/>
      </c>
      <c r="V44" s="2" t="str">
        <f t="shared" si="21"/>
        <v/>
      </c>
      <c r="W44" s="2" t="str">
        <f t="shared" si="22"/>
        <v/>
      </c>
      <c r="X44" s="2" t="str" cm="1">
        <f t="array" ref="X44">IF((SUMPRODUCT(--ISNUMBER(SEARCH({"!","@","#","$","%","^","&amp;","~*","(",")","_","+","=","{","}","[","]","|","\",":",";","'","""","&lt;","&gt;",",",".","~?","/","~~","`"}, I44)))&gt;0)=TRUE,"Special Characters Found in City","")</f>
        <v/>
      </c>
      <c r="Y44" s="2" t="str" cm="1">
        <f t="array" ref="Y44">IF((SUMPRODUCT(--ISNUMBER(SEARCH({"!","@","#","$","%","^","~*","(",")","_","+","=","{","}","[","]","|","\",":",";","'","""","&lt;","&gt;","~?","/","~~","`"},F44)))&gt;0)=TRUE,"Special Characters Found in Account field","")</f>
        <v/>
      </c>
      <c r="Z44" s="2" t="str" cm="1">
        <f t="array" ref="Z44">IF(SUM(--ISNUMBER(SEARCH({1,2,3,4,5,6,7,8,9,0},MID(H44,(SEARCH(" E ",H44)-1),1))))+SUM(--ISNUMBER(SEARCH({1,2,3,4,5,6,7,8,9,0},MID(H44,(SEARCH(" E ",H44)+3),1))))=2,"",IF(SUM(--ISNUMBER(SEARCH({"Parte E","Apoquindo N"},H44)))&gt;0,"",IF(OR(RIGHT(H44,3)=" NE",RIGHT(H44,3)=" NW",RIGHT(H44,3)=" SW",RIGHT(H44,3)=" SE",RIGHT(H44,2)=" N",RIGHT(H44,2)=" E",RIGHT(H44,2)=" W",RIGHT(H44,2)=" S",LEFT(H44,3)="NE ",LEFT(H44,3)="NW ",LEFT(H44,3)="SW ",LEFT(H44,3)="SE ",LEFT(H44,2)="N ",LEFT(H44,2)="E ",LEFT(H44,2)="W ",LEFT(H44,2)="S "),"Directional Check",IF(SUM(--ISNUMBER(SEARCH({" N "," E "," W "," S "," NE "," NW "," SW "," SE ","N.E","N.W","S.W","S.E","E.","N.","S.","W."},H44)))&gt;0,"Directional Check",IF(SUM(--ISNUMBER(SEARCH({1,2,3,4,5,6,7,8,9,0},MID(H44,(SEARCH("nd ",H44)-1),1))))+SUM(--ISNUMBER(SEARCH({1,2,3,4,5,6,7,8,9,0},MID(H44,(SEARCH("rd ",H44)-1),1)))+SUM(--ISNUMBER(SEARCH({1,2,3,4,5,6,7,8,9,0},MID(H44,(SEARCH("st ",H44)-1),1))))+SUM(--ISNUMBER(SEARCH({1,2,3,4,5,6,7,8,9,0},MID(H44,(SEARCH("th ",H44)-1),1)))))&gt;0,"","")))))</f>
        <v/>
      </c>
      <c r="AA44" s="2" t="str">
        <f>IF(IF(L44="US",IFERROR(VLOOKUP(J44,'Country Codes'!$B:$B,1,0)=J44,"US State Code Error"),IF(L44="CA",IFERROR(VLOOKUP(J44,'Country Codes'!$E:$E,1,0)=J44,"Canada State Code Error"),IF(L44="BR",IFERROR(VLOOKUP(J44,'Country Codes'!$H:$H,1,0)=J44,"Brazil State Code Error"),IF(L44="AU",IFERROR(VLOOKUP(J44,'Country Codes'!$K:$K,1,0)=J44,"Australia State Code Error"),""))))=TRUE,"",IF(L44="US",IFERROR(VLOOKUP(J44,'Country Codes'!$B:$B,1,0)=J44,"US State Code Error"),IF(L44="CA",IFERROR(VLOOKUP(J44,'Country Codes'!$E:$E,1,0)=J44,"Canada State Code Error"),IF(L44="BR",IFERROR(VLOOKUP(J44,'Country Codes'!$H:$H,1,0)=J44,"Brazil State Code Error"),IF(L44="AU",IFERROR(VLOOKUP(J44,'Country Codes'!$K:$K,1,0)=J44,"Australia State Code Error"),"")))))</f>
        <v/>
      </c>
      <c r="AB44" s="2" t="str">
        <f t="shared" si="23"/>
        <v/>
      </c>
      <c r="AC44" s="2" t="str" cm="1">
        <f t="array" ref="AC44">IFERROR(_xlfn.IFS(IF(AND(LEN(I44)=0,ISBLANK(I44)=FALSE),"",ISNUMBER(SEARCH(I44,H44))),"City/Postal Code/Country Found in Address",IF(AND(LEN(K44)=0,ISBLANK(K44)=FALSE),"",ISNUMBER(SEARCH(K44,H44))),"City/Postal Code/Country Found in Address",IF(AND(LEN(L44)=0,ISBLANK(L44)=FALSE),"",ISNUMBER(SEARCH(", "&amp;L44,H44))),"City/Postal Code/Country Found in Address",IF(AND(LEN(J44)=0,ISBLANK(J44)=FALSE),"",ISNUMBER(SEARCH(", "&amp;J44,H44))),"City/Postal Code/Country Found in Address",IF(AND(LEN(L44)=0,ISBLANK(L44)=FALSE),"",ISNUMBER(SEARCH(","&amp;L44,H44))),"City/Postal Code/Country Found in Address",IF(AND(LEN(J44)=0,ISBLANK(J44)=FALSE),"",ISNUMBER(SEARCH(","&amp;J44,H44))),"City/Postal Code/Country Found in Address"),"")</f>
        <v/>
      </c>
      <c r="AD44" s="2" t="str">
        <f t="shared" si="24"/>
        <v/>
      </c>
      <c r="AE44" s="2" t="str" cm="1">
        <f t="array" ref="AE44">IFERROR(IF(VLOOKUP(LEFT(M44,MIN(SEARCH({1,2,3,4,5,6,7,8,9,0},M44&amp;{1,2,3,4,5,6,7,8,9,0}))-1),'Country Codes'!$N:$N,1,0)&gt;0,"PO Number may be incorrect",""),"")</f>
        <v/>
      </c>
      <c r="AF44" s="2" t="str">
        <f t="shared" si="25"/>
        <v/>
      </c>
      <c r="AG44" s="2" t="str">
        <f t="shared" si="26"/>
        <v/>
      </c>
      <c r="AH44" s="2" t="str">
        <f t="shared" si="27"/>
        <v/>
      </c>
      <c r="AI44" s="2" t="str" cm="1">
        <f t="array" ref="AI44">IF(G44="","",_xlfn.IFNA(_xlfn.IFS(L44=VLOOKUP(L44,'Country Codes'!$M:$M,1,0)=TRUE,""),"Please check the country code"))</f>
        <v/>
      </c>
      <c r="AJ44" s="2" t="str">
        <f t="shared" si="11"/>
        <v/>
      </c>
      <c r="AK44" s="2"/>
      <c r="AM44" s="43">
        <f t="shared" si="12"/>
        <v>0</v>
      </c>
      <c r="AN44" s="43">
        <f t="shared" si="13"/>
        <v>0</v>
      </c>
      <c r="AO44" s="43">
        <f t="shared" si="14"/>
        <v>0</v>
      </c>
      <c r="AP44" s="43">
        <f t="shared" si="15"/>
        <v>0</v>
      </c>
      <c r="AQ44" s="43">
        <f t="shared" si="16"/>
        <v>0</v>
      </c>
    </row>
    <row r="45" spans="1:43" ht="15.75" x14ac:dyDescent="0.25">
      <c r="A45" s="16" t="s">
        <v>473</v>
      </c>
      <c r="B45" s="11" t="s">
        <v>483</v>
      </c>
      <c r="C45" s="11" t="s">
        <v>12</v>
      </c>
      <c r="D45" s="11" t="s">
        <v>30</v>
      </c>
      <c r="E45" s="11" t="s">
        <v>452</v>
      </c>
      <c r="F45" s="11" t="s">
        <v>499</v>
      </c>
      <c r="G45" s="11" t="s">
        <v>507</v>
      </c>
      <c r="H45" s="11" t="s">
        <v>513</v>
      </c>
      <c r="I45" s="11" t="s">
        <v>474</v>
      </c>
      <c r="J45" s="11" t="s">
        <v>57</v>
      </c>
      <c r="K45" s="11" t="s">
        <v>475</v>
      </c>
      <c r="L45" s="11" t="s">
        <v>33</v>
      </c>
      <c r="M45" s="11" t="s">
        <v>30</v>
      </c>
      <c r="N45" s="11" t="s">
        <v>30</v>
      </c>
      <c r="O45" s="11" t="s">
        <v>30</v>
      </c>
      <c r="P45" s="11" t="s">
        <v>452</v>
      </c>
      <c r="Q45" s="7"/>
      <c r="R45" s="2" t="str">
        <f t="shared" si="17"/>
        <v/>
      </c>
      <c r="S45" s="2" t="str">
        <f t="shared" si="18"/>
        <v/>
      </c>
      <c r="T45" s="2" t="str">
        <f t="shared" si="19"/>
        <v/>
      </c>
      <c r="U45" s="2" t="str">
        <f t="shared" si="20"/>
        <v/>
      </c>
      <c r="V45" s="2" t="str">
        <f t="shared" si="21"/>
        <v/>
      </c>
      <c r="W45" s="2" t="str">
        <f t="shared" si="22"/>
        <v/>
      </c>
      <c r="X45" s="2" t="str" cm="1">
        <f t="array" ref="X45">IF((SUMPRODUCT(--ISNUMBER(SEARCH({"!","@","#","$","%","^","&amp;","~*","(",")","_","+","=","{","}","[","]","|","\",":",";","'","""","&lt;","&gt;",",",".","~?","/","~~","`"}, I45)))&gt;0)=TRUE,"Special Characters Found in City","")</f>
        <v/>
      </c>
      <c r="Y45" s="2" t="str" cm="1">
        <f t="array" ref="Y45">IF((SUMPRODUCT(--ISNUMBER(SEARCH({"!","@","#","$","%","^","~*","(",")","_","+","=","{","}","[","]","|","\",":",";","'","""","&lt;","&gt;","~?","/","~~","`"},F45)))&gt;0)=TRUE,"Special Characters Found in Account field","")</f>
        <v/>
      </c>
      <c r="Z45" s="2" t="str" cm="1">
        <f t="array" ref="Z45">IF(SUM(--ISNUMBER(SEARCH({1,2,3,4,5,6,7,8,9,0},MID(H45,(SEARCH(" E ",H45)-1),1))))+SUM(--ISNUMBER(SEARCH({1,2,3,4,5,6,7,8,9,0},MID(H45,(SEARCH(" E ",H45)+3),1))))=2,"",IF(SUM(--ISNUMBER(SEARCH({"Parte E","Apoquindo N"},H45)))&gt;0,"",IF(OR(RIGHT(H45,3)=" NE",RIGHT(H45,3)=" NW",RIGHT(H45,3)=" SW",RIGHT(H45,3)=" SE",RIGHT(H45,2)=" N",RIGHT(H45,2)=" E",RIGHT(H45,2)=" W",RIGHT(H45,2)=" S",LEFT(H45,3)="NE ",LEFT(H45,3)="NW ",LEFT(H45,3)="SW ",LEFT(H45,3)="SE ",LEFT(H45,2)="N ",LEFT(H45,2)="E ",LEFT(H45,2)="W ",LEFT(H45,2)="S "),"Directional Check",IF(SUM(--ISNUMBER(SEARCH({" N "," E "," W "," S "," NE "," NW "," SW "," SE ","N.E","N.W","S.W","S.E","E.","N.","S.","W."},H45)))&gt;0,"Directional Check",IF(SUM(--ISNUMBER(SEARCH({1,2,3,4,5,6,7,8,9,0},MID(H45,(SEARCH("nd ",H45)-1),1))))+SUM(--ISNUMBER(SEARCH({1,2,3,4,5,6,7,8,9,0},MID(H45,(SEARCH("rd ",H45)-1),1)))+SUM(--ISNUMBER(SEARCH({1,2,3,4,5,6,7,8,9,0},MID(H45,(SEARCH("st ",H45)-1),1))))+SUM(--ISNUMBER(SEARCH({1,2,3,4,5,6,7,8,9,0},MID(H45,(SEARCH("th ",H45)-1),1)))))&gt;0,"","")))))</f>
        <v/>
      </c>
      <c r="AA45" s="2" t="str">
        <f>IF(IF(L45="US",IFERROR(VLOOKUP(J45,'Country Codes'!$B:$B,1,0)=J45,"US State Code Error"),IF(L45="CA",IFERROR(VLOOKUP(J45,'Country Codes'!$E:$E,1,0)=J45,"Canada State Code Error"),IF(L45="BR",IFERROR(VLOOKUP(J45,'Country Codes'!$H:$H,1,0)=J45,"Brazil State Code Error"),IF(L45="AU",IFERROR(VLOOKUP(J45,'Country Codes'!$K:$K,1,0)=J45,"Australia State Code Error"),""))))=TRUE,"",IF(L45="US",IFERROR(VLOOKUP(J45,'Country Codes'!$B:$B,1,0)=J45,"US State Code Error"),IF(L45="CA",IFERROR(VLOOKUP(J45,'Country Codes'!$E:$E,1,0)=J45,"Canada State Code Error"),IF(L45="BR",IFERROR(VLOOKUP(J45,'Country Codes'!$H:$H,1,0)=J45,"Brazil State Code Error"),IF(L45="AU",IFERROR(VLOOKUP(J45,'Country Codes'!$K:$K,1,0)=J45,"Australia State Code Error"),"")))))</f>
        <v/>
      </c>
      <c r="AB45" s="2" t="str">
        <f t="shared" si="23"/>
        <v/>
      </c>
      <c r="AC45" s="2" t="str" cm="1">
        <f t="array" ref="AC45">IFERROR(_xlfn.IFS(IF(AND(LEN(I45)=0,ISBLANK(I45)=FALSE),"",ISNUMBER(SEARCH(I45,H45))),"City/Postal Code/Country Found in Address",IF(AND(LEN(K45)=0,ISBLANK(K45)=FALSE),"",ISNUMBER(SEARCH(K45,H45))),"City/Postal Code/Country Found in Address",IF(AND(LEN(L45)=0,ISBLANK(L45)=FALSE),"",ISNUMBER(SEARCH(", "&amp;L45,H45))),"City/Postal Code/Country Found in Address",IF(AND(LEN(J45)=0,ISBLANK(J45)=FALSE),"",ISNUMBER(SEARCH(", "&amp;J45,H45))),"City/Postal Code/Country Found in Address",IF(AND(LEN(L45)=0,ISBLANK(L45)=FALSE),"",ISNUMBER(SEARCH(","&amp;L45,H45))),"City/Postal Code/Country Found in Address",IF(AND(LEN(J45)=0,ISBLANK(J45)=FALSE),"",ISNUMBER(SEARCH(","&amp;J45,H45))),"City/Postal Code/Country Found in Address"),"")</f>
        <v/>
      </c>
      <c r="AD45" s="2" t="str">
        <f t="shared" si="24"/>
        <v/>
      </c>
      <c r="AE45" s="2" t="str" cm="1">
        <f t="array" ref="AE45">IFERROR(IF(VLOOKUP(LEFT(M45,MIN(SEARCH({1,2,3,4,5,6,7,8,9,0},M45&amp;{1,2,3,4,5,6,7,8,9,0}))-1),'Country Codes'!$N:$N,1,0)&gt;0,"PO Number may be incorrect",""),"")</f>
        <v/>
      </c>
      <c r="AF45" s="2" t="str">
        <f t="shared" si="25"/>
        <v/>
      </c>
      <c r="AG45" s="2" t="str">
        <f t="shared" si="26"/>
        <v/>
      </c>
      <c r="AH45" s="2" t="str">
        <f t="shared" si="27"/>
        <v/>
      </c>
      <c r="AI45" s="2" t="str" cm="1">
        <f t="array" ref="AI45">IF(G45="","",_xlfn.IFNA(_xlfn.IFS(L45=VLOOKUP(L45,'Country Codes'!$M:$M,1,0)=TRUE,""),"Please check the country code"))</f>
        <v/>
      </c>
      <c r="AJ45" s="2" t="str">
        <f t="shared" si="11"/>
        <v/>
      </c>
      <c r="AK45" s="2"/>
      <c r="AM45" s="43">
        <f t="shared" si="12"/>
        <v>0</v>
      </c>
      <c r="AN45" s="43">
        <f t="shared" si="13"/>
        <v>0</v>
      </c>
      <c r="AO45" s="43">
        <f t="shared" si="14"/>
        <v>0</v>
      </c>
      <c r="AP45" s="43">
        <f t="shared" si="15"/>
        <v>0</v>
      </c>
      <c r="AQ45" s="43">
        <f t="shared" si="16"/>
        <v>0</v>
      </c>
    </row>
    <row r="46" spans="1:43" ht="15.75" x14ac:dyDescent="0.25">
      <c r="A46" s="16" t="s">
        <v>476</v>
      </c>
      <c r="B46" s="11" t="s">
        <v>483</v>
      </c>
      <c r="C46" s="11" t="s">
        <v>9</v>
      </c>
      <c r="D46" s="11" t="s">
        <v>30</v>
      </c>
      <c r="E46" s="11" t="s">
        <v>496</v>
      </c>
      <c r="F46" s="11" t="s">
        <v>499</v>
      </c>
      <c r="G46" s="11" t="s">
        <v>507</v>
      </c>
      <c r="H46" s="11" t="s">
        <v>513</v>
      </c>
      <c r="I46" s="11" t="s">
        <v>474</v>
      </c>
      <c r="J46" s="11" t="s">
        <v>57</v>
      </c>
      <c r="K46" s="11" t="s">
        <v>475</v>
      </c>
      <c r="L46" s="11" t="s">
        <v>33</v>
      </c>
      <c r="M46" s="11" t="s">
        <v>30</v>
      </c>
      <c r="N46" s="11" t="s">
        <v>30</v>
      </c>
      <c r="O46" s="11" t="s">
        <v>30</v>
      </c>
      <c r="P46" s="11" t="s">
        <v>452</v>
      </c>
      <c r="Q46" s="7"/>
      <c r="R46" s="2" t="str">
        <f t="shared" si="17"/>
        <v/>
      </c>
      <c r="S46" s="2" t="str">
        <f t="shared" si="18"/>
        <v/>
      </c>
      <c r="T46" s="2" t="str">
        <f t="shared" si="19"/>
        <v/>
      </c>
      <c r="U46" s="2" t="str">
        <f t="shared" si="20"/>
        <v/>
      </c>
      <c r="V46" s="2" t="str">
        <f t="shared" si="21"/>
        <v/>
      </c>
      <c r="W46" s="2" t="str">
        <f t="shared" si="22"/>
        <v/>
      </c>
      <c r="X46" s="2" t="str" cm="1">
        <f t="array" ref="X46">IF((SUMPRODUCT(--ISNUMBER(SEARCH({"!","@","#","$","%","^","&amp;","~*","(",")","_","+","=","{","}","[","]","|","\",":",";","'","""","&lt;","&gt;",",",".","~?","/","~~","`"}, I46)))&gt;0)=TRUE,"Special Characters Found in City","")</f>
        <v/>
      </c>
      <c r="Y46" s="2" t="str" cm="1">
        <f t="array" ref="Y46">IF((SUMPRODUCT(--ISNUMBER(SEARCH({"!","@","#","$","%","^","~*","(",")","_","+","=","{","}","[","]","|","\",":",";","'","""","&lt;","&gt;","~?","/","~~","`"},F46)))&gt;0)=TRUE,"Special Characters Found in Account field","")</f>
        <v/>
      </c>
      <c r="Z46" s="2" t="str" cm="1">
        <f t="array" ref="Z46">IF(SUM(--ISNUMBER(SEARCH({1,2,3,4,5,6,7,8,9,0},MID(H46,(SEARCH(" E ",H46)-1),1))))+SUM(--ISNUMBER(SEARCH({1,2,3,4,5,6,7,8,9,0},MID(H46,(SEARCH(" E ",H46)+3),1))))=2,"",IF(SUM(--ISNUMBER(SEARCH({"Parte E","Apoquindo N"},H46)))&gt;0,"",IF(OR(RIGHT(H46,3)=" NE",RIGHT(H46,3)=" NW",RIGHT(H46,3)=" SW",RIGHT(H46,3)=" SE",RIGHT(H46,2)=" N",RIGHT(H46,2)=" E",RIGHT(H46,2)=" W",RIGHT(H46,2)=" S",LEFT(H46,3)="NE ",LEFT(H46,3)="NW ",LEFT(H46,3)="SW ",LEFT(H46,3)="SE ",LEFT(H46,2)="N ",LEFT(H46,2)="E ",LEFT(H46,2)="W ",LEFT(H46,2)="S "),"Directional Check",IF(SUM(--ISNUMBER(SEARCH({" N "," E "," W "," S "," NE "," NW "," SW "," SE ","N.E","N.W","S.W","S.E","E.","N.","S.","W."},H46)))&gt;0,"Directional Check",IF(SUM(--ISNUMBER(SEARCH({1,2,3,4,5,6,7,8,9,0},MID(H46,(SEARCH("nd ",H46)-1),1))))+SUM(--ISNUMBER(SEARCH({1,2,3,4,5,6,7,8,9,0},MID(H46,(SEARCH("rd ",H46)-1),1)))+SUM(--ISNUMBER(SEARCH({1,2,3,4,5,6,7,8,9,0},MID(H46,(SEARCH("st ",H46)-1),1))))+SUM(--ISNUMBER(SEARCH({1,2,3,4,5,6,7,8,9,0},MID(H46,(SEARCH("th ",H46)-1),1)))))&gt;0,"","")))))</f>
        <v/>
      </c>
      <c r="AA46" s="2" t="str">
        <f>IF(IF(L46="US",IFERROR(VLOOKUP(J46,'Country Codes'!$B:$B,1,0)=J46,"US State Code Error"),IF(L46="CA",IFERROR(VLOOKUP(J46,'Country Codes'!$E:$E,1,0)=J46,"Canada State Code Error"),IF(L46="BR",IFERROR(VLOOKUP(J46,'Country Codes'!$H:$H,1,0)=J46,"Brazil State Code Error"),IF(L46="AU",IFERROR(VLOOKUP(J46,'Country Codes'!$K:$K,1,0)=J46,"Australia State Code Error"),""))))=TRUE,"",IF(L46="US",IFERROR(VLOOKUP(J46,'Country Codes'!$B:$B,1,0)=J46,"US State Code Error"),IF(L46="CA",IFERROR(VLOOKUP(J46,'Country Codes'!$E:$E,1,0)=J46,"Canada State Code Error"),IF(L46="BR",IFERROR(VLOOKUP(J46,'Country Codes'!$H:$H,1,0)=J46,"Brazil State Code Error"),IF(L46="AU",IFERROR(VLOOKUP(J46,'Country Codes'!$K:$K,1,0)=J46,"Australia State Code Error"),"")))))</f>
        <v/>
      </c>
      <c r="AB46" s="2" t="str">
        <f t="shared" si="23"/>
        <v/>
      </c>
      <c r="AC46" s="2" t="str" cm="1">
        <f t="array" ref="AC46">IFERROR(_xlfn.IFS(IF(AND(LEN(I46)=0,ISBLANK(I46)=FALSE),"",ISNUMBER(SEARCH(I46,H46))),"City/Postal Code/Country Found in Address",IF(AND(LEN(K46)=0,ISBLANK(K46)=FALSE),"",ISNUMBER(SEARCH(K46,H46))),"City/Postal Code/Country Found in Address",IF(AND(LEN(L46)=0,ISBLANK(L46)=FALSE),"",ISNUMBER(SEARCH(", "&amp;L46,H46))),"City/Postal Code/Country Found in Address",IF(AND(LEN(J46)=0,ISBLANK(J46)=FALSE),"",ISNUMBER(SEARCH(", "&amp;J46,H46))),"City/Postal Code/Country Found in Address",IF(AND(LEN(L46)=0,ISBLANK(L46)=FALSE),"",ISNUMBER(SEARCH(","&amp;L46,H46))),"City/Postal Code/Country Found in Address",IF(AND(LEN(J46)=0,ISBLANK(J46)=FALSE),"",ISNUMBER(SEARCH(","&amp;J46,H46))),"City/Postal Code/Country Found in Address"),"")</f>
        <v/>
      </c>
      <c r="AD46" s="2" t="str">
        <f t="shared" si="24"/>
        <v/>
      </c>
      <c r="AE46" s="2" t="str" cm="1">
        <f t="array" ref="AE46">IFERROR(IF(VLOOKUP(LEFT(M46,MIN(SEARCH({1,2,3,4,5,6,7,8,9,0},M46&amp;{1,2,3,4,5,6,7,8,9,0}))-1),'Country Codes'!$N:$N,1,0)&gt;0,"PO Number may be incorrect",""),"")</f>
        <v/>
      </c>
      <c r="AF46" s="2" t="str">
        <f t="shared" si="25"/>
        <v/>
      </c>
      <c r="AG46" s="2" t="str">
        <f t="shared" si="26"/>
        <v/>
      </c>
      <c r="AH46" s="2" t="str">
        <f t="shared" si="27"/>
        <v/>
      </c>
      <c r="AI46" s="2" t="str" cm="1">
        <f t="array" ref="AI46">IF(G46="","",_xlfn.IFNA(_xlfn.IFS(L46=VLOOKUP(L46,'Country Codes'!$M:$M,1,0)=TRUE,""),"Please check the country code"))</f>
        <v/>
      </c>
      <c r="AJ46" s="2" t="str">
        <f t="shared" si="11"/>
        <v/>
      </c>
      <c r="AK46" s="2"/>
      <c r="AM46" s="43">
        <f t="shared" si="12"/>
        <v>0</v>
      </c>
      <c r="AN46" s="43">
        <f t="shared" si="13"/>
        <v>0</v>
      </c>
      <c r="AO46" s="43">
        <f t="shared" si="14"/>
        <v>0</v>
      </c>
      <c r="AP46" s="43">
        <f t="shared" si="15"/>
        <v>0</v>
      </c>
      <c r="AQ46" s="43">
        <f t="shared" si="16"/>
        <v>0</v>
      </c>
    </row>
    <row r="47" spans="1:43" ht="15.75" x14ac:dyDescent="0.25">
      <c r="A47" s="16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43" ht="15.75" x14ac:dyDescent="0.25">
      <c r="A48" s="16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ht="15.75" x14ac:dyDescent="0.25">
      <c r="A49" s="16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ht="15.75" x14ac:dyDescent="0.25">
      <c r="A50" s="16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ht="15.75" x14ac:dyDescent="0.25">
      <c r="A51" s="16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ht="15.75" x14ac:dyDescent="0.25">
      <c r="A52" s="16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ht="15.75" x14ac:dyDescent="0.25">
      <c r="A53" s="16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ht="15.75" x14ac:dyDescent="0.25">
      <c r="A54" s="16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ht="15.75" x14ac:dyDescent="0.25">
      <c r="A55" s="16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ht="15.75" x14ac:dyDescent="0.25">
      <c r="A56" s="16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ht="15.75" x14ac:dyDescent="0.25">
      <c r="A57" s="16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ht="15.75" x14ac:dyDescent="0.25">
      <c r="A58" s="16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ht="15.75" x14ac:dyDescent="0.25">
      <c r="A59" s="16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15.75" x14ac:dyDescent="0.25">
      <c r="A60" s="16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ht="15.75" x14ac:dyDescent="0.25">
      <c r="A61" s="16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ht="15.75" x14ac:dyDescent="0.25">
      <c r="A62" s="16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ht="15.75" x14ac:dyDescent="0.25">
      <c r="A63" s="16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ht="15.75" x14ac:dyDescent="0.25">
      <c r="A64" s="16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 ht="15.75" x14ac:dyDescent="0.25">
      <c r="A65" s="16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 ht="15.75" x14ac:dyDescent="0.25">
      <c r="A66" s="16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ht="15.75" x14ac:dyDescent="0.25">
      <c r="A67" s="16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 ht="15.75" x14ac:dyDescent="0.25">
      <c r="A68" s="16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ht="15.75" x14ac:dyDescent="0.25">
      <c r="A69" s="16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 ht="15.75" x14ac:dyDescent="0.25">
      <c r="A70" s="16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ht="15.75" x14ac:dyDescent="0.25">
      <c r="A71" s="16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ht="15.75" x14ac:dyDescent="0.25">
      <c r="A72" s="16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ht="15.75" x14ac:dyDescent="0.25">
      <c r="A73" s="16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ht="15.75" x14ac:dyDescent="0.25">
      <c r="A74" s="16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ht="15.75" x14ac:dyDescent="0.25">
      <c r="A75" s="16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ht="15.75" x14ac:dyDescent="0.25">
      <c r="A76" s="16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 ht="15.75" x14ac:dyDescent="0.25">
      <c r="A77" s="16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ht="15.75" x14ac:dyDescent="0.25">
      <c r="A78" s="16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ht="15.75" x14ac:dyDescent="0.25">
      <c r="A79" s="16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ht="15.75" x14ac:dyDescent="0.25">
      <c r="A80" s="16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ht="15.75" x14ac:dyDescent="0.25">
      <c r="A81" s="16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ht="15.75" x14ac:dyDescent="0.25">
      <c r="A82" s="16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ht="15.75" x14ac:dyDescent="0.25">
      <c r="A83" s="16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ht="15.75" x14ac:dyDescent="0.25">
      <c r="A84" s="16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ht="15.75" x14ac:dyDescent="0.25">
      <c r="A85" s="16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ht="15.75" x14ac:dyDescent="0.25">
      <c r="A86" s="1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ht="15.75" x14ac:dyDescent="0.25">
      <c r="A87" s="16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ht="15.75" x14ac:dyDescent="0.25">
      <c r="A88" s="16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ht="15.75" x14ac:dyDescent="0.25">
      <c r="A89" s="16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ht="15.75" x14ac:dyDescent="0.25">
      <c r="A90" s="16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ht="15.75" x14ac:dyDescent="0.25">
      <c r="A91" s="16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ht="15.75" x14ac:dyDescent="0.25">
      <c r="A92" s="16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ht="15.75" x14ac:dyDescent="0.25">
      <c r="A93" s="16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ht="15.75" x14ac:dyDescent="0.25">
      <c r="A94" s="16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ht="15.75" x14ac:dyDescent="0.25">
      <c r="A95" s="16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ht="15.75" x14ac:dyDescent="0.25">
      <c r="A96" s="16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 ht="15.75" x14ac:dyDescent="0.25">
      <c r="A97" s="16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ht="15.75" x14ac:dyDescent="0.25">
      <c r="A98" s="16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ht="15.75" x14ac:dyDescent="0.25">
      <c r="A99" s="16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ht="15.75" x14ac:dyDescent="0.25">
      <c r="A100" s="16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ht="15.75" x14ac:dyDescent="0.25">
      <c r="A101" s="16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ht="15.75" x14ac:dyDescent="0.25">
      <c r="A102" s="16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ht="15.75" x14ac:dyDescent="0.25">
      <c r="A103" s="16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ht="15.75" x14ac:dyDescent="0.25">
      <c r="A104" s="16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ht="15.75" x14ac:dyDescent="0.25">
      <c r="A105" s="16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ht="15.75" x14ac:dyDescent="0.25">
      <c r="A106" s="16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ht="15.75" x14ac:dyDescent="0.25">
      <c r="A107" s="16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ht="15.75" x14ac:dyDescent="0.25">
      <c r="A108" s="16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ht="15.75" x14ac:dyDescent="0.25">
      <c r="A109" s="16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ht="15.75" x14ac:dyDescent="0.25">
      <c r="A110" s="16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ht="15.75" x14ac:dyDescent="0.25">
      <c r="A111" s="16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ht="15.75" x14ac:dyDescent="0.25">
      <c r="A112" s="16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ht="15.75" x14ac:dyDescent="0.25">
      <c r="A113" s="16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ht="15.75" x14ac:dyDescent="0.25">
      <c r="A114" s="16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ht="15.75" x14ac:dyDescent="0.25">
      <c r="A115" s="1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ht="15.75" x14ac:dyDescent="0.25">
      <c r="A116" s="16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ht="15.75" x14ac:dyDescent="0.25">
      <c r="A117" s="16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ht="15.75" x14ac:dyDescent="0.25">
      <c r="A118" s="16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ht="15.75" x14ac:dyDescent="0.25">
      <c r="A119" s="16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ht="15.75" x14ac:dyDescent="0.25">
      <c r="A120" s="16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ht="15.75" x14ac:dyDescent="0.25">
      <c r="A121" s="16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ht="15.75" x14ac:dyDescent="0.25">
      <c r="A122" s="16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ht="15.75" x14ac:dyDescent="0.25">
      <c r="A123" s="16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ht="15.75" x14ac:dyDescent="0.25">
      <c r="A124" s="16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ht="15.75" x14ac:dyDescent="0.25">
      <c r="A125" s="16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ht="15.75" x14ac:dyDescent="0.25">
      <c r="A126" s="16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ht="15.75" x14ac:dyDescent="0.25">
      <c r="A127" s="16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ht="15.75" x14ac:dyDescent="0.25">
      <c r="A128" s="16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ht="15.75" x14ac:dyDescent="0.25">
      <c r="A129" s="16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ht="15.75" x14ac:dyDescent="0.25">
      <c r="A130" s="16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ht="15.75" x14ac:dyDescent="0.25">
      <c r="A131" s="16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ht="15.75" x14ac:dyDescent="0.25">
      <c r="A132" s="16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ht="15.75" x14ac:dyDescent="0.25">
      <c r="A133" s="16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ht="15.75" x14ac:dyDescent="0.25">
      <c r="A134" s="16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ht="15.75" x14ac:dyDescent="0.25">
      <c r="A135" s="16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ht="15.75" x14ac:dyDescent="0.25">
      <c r="A136" s="16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ht="15.75" x14ac:dyDescent="0.25">
      <c r="A137" s="16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ht="15.75" x14ac:dyDescent="0.25">
      <c r="A138" s="16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ht="15.75" x14ac:dyDescent="0.25">
      <c r="A139" s="16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ht="15.75" x14ac:dyDescent="0.25">
      <c r="A140" s="16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ht="15.75" x14ac:dyDescent="0.25">
      <c r="A141" s="16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ht="15.75" x14ac:dyDescent="0.25">
      <c r="A142" s="16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ht="15.75" x14ac:dyDescent="0.25">
      <c r="A143" s="16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ht="15.75" x14ac:dyDescent="0.25">
      <c r="A144" s="16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ht="15.75" x14ac:dyDescent="0.25">
      <c r="A145" s="16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ht="15.75" x14ac:dyDescent="0.25">
      <c r="A146" s="16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ht="15.75" x14ac:dyDescent="0.25">
      <c r="A147" s="16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ht="15.75" x14ac:dyDescent="0.25">
      <c r="A148" s="16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ht="15.75" x14ac:dyDescent="0.25">
      <c r="A149" s="16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ht="15.75" x14ac:dyDescent="0.25">
      <c r="A150" s="16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ht="15.75" x14ac:dyDescent="0.25">
      <c r="A151" s="16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ht="15.75" x14ac:dyDescent="0.25">
      <c r="A152" s="16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ht="15.75" x14ac:dyDescent="0.25">
      <c r="A153" s="16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ht="15.75" x14ac:dyDescent="0.25">
      <c r="A154" s="16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ht="15.75" x14ac:dyDescent="0.25">
      <c r="A155" s="16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ht="15.75" x14ac:dyDescent="0.25">
      <c r="A156" s="16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ht="15.75" x14ac:dyDescent="0.25">
      <c r="A157" s="16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ht="15.75" x14ac:dyDescent="0.25">
      <c r="A158" s="16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ht="15.75" x14ac:dyDescent="0.25">
      <c r="A159" s="16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ht="15.75" x14ac:dyDescent="0.25">
      <c r="A160" s="16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ht="15.75" x14ac:dyDescent="0.25">
      <c r="A161" s="16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ht="15.75" x14ac:dyDescent="0.25">
      <c r="A162" s="16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ht="15.75" x14ac:dyDescent="0.25">
      <c r="A163" s="16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ht="15.75" x14ac:dyDescent="0.25">
      <c r="A164" s="16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ht="15.75" x14ac:dyDescent="0.25">
      <c r="A165" s="16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ht="15.75" x14ac:dyDescent="0.25">
      <c r="A166" s="16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ht="15.75" x14ac:dyDescent="0.25">
      <c r="A167" s="16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ht="15.75" x14ac:dyDescent="0.25">
      <c r="A168" s="16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ht="15.75" x14ac:dyDescent="0.25">
      <c r="A169" s="16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ht="15.75" x14ac:dyDescent="0.25">
      <c r="A170" s="16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ht="15.75" x14ac:dyDescent="0.25">
      <c r="A171" s="16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ht="15.75" x14ac:dyDescent="0.25">
      <c r="A172" s="16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ht="15.75" x14ac:dyDescent="0.25">
      <c r="A173" s="16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ht="15.75" x14ac:dyDescent="0.25">
      <c r="A174" s="16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ht="15.75" x14ac:dyDescent="0.25">
      <c r="A175" s="16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ht="15.75" x14ac:dyDescent="0.25">
      <c r="A176" s="16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ht="15.75" x14ac:dyDescent="0.25">
      <c r="A177" s="16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ht="15.75" x14ac:dyDescent="0.25">
      <c r="A178" s="16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ht="15.75" x14ac:dyDescent="0.25">
      <c r="A179" s="16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ht="15.75" x14ac:dyDescent="0.25">
      <c r="A180" s="16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ht="15.75" x14ac:dyDescent="0.25">
      <c r="A181" s="16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ht="15.75" x14ac:dyDescent="0.25">
      <c r="A182" s="16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ht="15.75" x14ac:dyDescent="0.25">
      <c r="A183" s="16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ht="15.75" x14ac:dyDescent="0.25">
      <c r="A184" s="16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ht="15.75" x14ac:dyDescent="0.25">
      <c r="A185" s="16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ht="15.75" x14ac:dyDescent="0.25">
      <c r="A186" s="16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ht="15.75" x14ac:dyDescent="0.25">
      <c r="A187" s="16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ht="15.75" x14ac:dyDescent="0.25">
      <c r="A188" s="16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ht="15.75" x14ac:dyDescent="0.25">
      <c r="A189" s="16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ht="15.75" x14ac:dyDescent="0.25">
      <c r="A190" s="16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ht="15.75" x14ac:dyDescent="0.25">
      <c r="A191" s="16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ht="15.75" x14ac:dyDescent="0.25">
      <c r="A192" s="16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ht="15.75" x14ac:dyDescent="0.25">
      <c r="A193" s="16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ht="15.75" x14ac:dyDescent="0.25">
      <c r="A194" s="16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ht="15.75" x14ac:dyDescent="0.25">
      <c r="A195" s="16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ht="15.75" x14ac:dyDescent="0.25">
      <c r="A196" s="16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ht="15.75" x14ac:dyDescent="0.25">
      <c r="A197" s="16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ht="15.75" x14ac:dyDescent="0.25">
      <c r="A198" s="16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ht="15.75" x14ac:dyDescent="0.25">
      <c r="A199" s="16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ht="15.75" x14ac:dyDescent="0.25">
      <c r="A200" s="16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ht="15.75" x14ac:dyDescent="0.25">
      <c r="A201" s="16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ht="15.75" x14ac:dyDescent="0.25">
      <c r="A202" s="16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 ht="15.75" x14ac:dyDescent="0.25">
      <c r="A203" s="16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 ht="15.75" x14ac:dyDescent="0.25">
      <c r="A204" s="16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 ht="15.75" x14ac:dyDescent="0.25">
      <c r="A205" s="16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 ht="15.75" x14ac:dyDescent="0.25">
      <c r="A206" s="16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 ht="15.75" x14ac:dyDescent="0.25">
      <c r="A207" s="16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 ht="15.75" x14ac:dyDescent="0.25">
      <c r="A208" s="16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 ht="15.75" x14ac:dyDescent="0.25">
      <c r="A209" s="16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 ht="15.75" x14ac:dyDescent="0.25">
      <c r="A210" s="16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 ht="15.75" x14ac:dyDescent="0.25">
      <c r="A211" s="16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 ht="15.75" x14ac:dyDescent="0.25">
      <c r="A212" s="16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 ht="15.75" x14ac:dyDescent="0.25">
      <c r="A213" s="16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 ht="15.75" x14ac:dyDescent="0.25">
      <c r="A214" s="16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 ht="15.75" x14ac:dyDescent="0.25">
      <c r="A215" s="16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 ht="15.75" x14ac:dyDescent="0.25">
      <c r="A216" s="16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 ht="15.75" x14ac:dyDescent="0.25">
      <c r="A217" s="16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 ht="15.75" x14ac:dyDescent="0.25">
      <c r="A218" s="16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 ht="15.75" x14ac:dyDescent="0.25">
      <c r="A219" s="16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ht="15.75" x14ac:dyDescent="0.25">
      <c r="A220" s="16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ht="15.75" x14ac:dyDescent="0.25">
      <c r="A221" s="16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ht="15.75" x14ac:dyDescent="0.25">
      <c r="A222" s="16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ht="15.75" x14ac:dyDescent="0.25">
      <c r="A223" s="16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ht="15.75" x14ac:dyDescent="0.25">
      <c r="A224" s="16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ht="15.75" x14ac:dyDescent="0.25">
      <c r="A225" s="16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ht="15.75" x14ac:dyDescent="0.25">
      <c r="A226" s="16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ht="15.75" x14ac:dyDescent="0.25">
      <c r="A227" s="16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ht="15.75" x14ac:dyDescent="0.25">
      <c r="A228" s="16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ht="15.75" x14ac:dyDescent="0.25">
      <c r="A229" s="16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ht="15.75" x14ac:dyDescent="0.25">
      <c r="A230" s="16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ht="15.75" x14ac:dyDescent="0.25">
      <c r="A231" s="16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ht="15.75" x14ac:dyDescent="0.25">
      <c r="A232" s="16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ht="15.75" x14ac:dyDescent="0.25">
      <c r="A233" s="16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ht="15.75" x14ac:dyDescent="0.25">
      <c r="A234" s="16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ht="15.75" x14ac:dyDescent="0.25">
      <c r="A235" s="16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ht="15.75" x14ac:dyDescent="0.25">
      <c r="A236" s="16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ht="15.75" x14ac:dyDescent="0.25">
      <c r="A237" s="16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ht="15.75" x14ac:dyDescent="0.25">
      <c r="A238" s="16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ht="15.75" x14ac:dyDescent="0.25">
      <c r="A239" s="16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ht="15.75" x14ac:dyDescent="0.25">
      <c r="A240" s="16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ht="15.75" x14ac:dyDescent="0.25">
      <c r="A241" s="16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ht="15.75" x14ac:dyDescent="0.25">
      <c r="A242" s="16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ht="15.75" x14ac:dyDescent="0.25">
      <c r="A243" s="16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ht="15.75" x14ac:dyDescent="0.25">
      <c r="A244" s="16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ht="15.75" x14ac:dyDescent="0.25">
      <c r="A245" s="16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ht="15.75" x14ac:dyDescent="0.25">
      <c r="A246" s="16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ht="15.75" x14ac:dyDescent="0.25">
      <c r="A247" s="16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ht="15.75" x14ac:dyDescent="0.25">
      <c r="A248" s="16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ht="15.75" x14ac:dyDescent="0.25">
      <c r="A249" s="16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ht="15.75" x14ac:dyDescent="0.25">
      <c r="A250" s="16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ht="15.75" x14ac:dyDescent="0.25">
      <c r="A251" s="16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ht="15.75" x14ac:dyDescent="0.25">
      <c r="A252" s="16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ht="15.75" x14ac:dyDescent="0.25">
      <c r="A253" s="16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ht="15.75" x14ac:dyDescent="0.25">
      <c r="A254" s="16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ht="15.75" x14ac:dyDescent="0.25">
      <c r="A255" s="16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ht="15.75" x14ac:dyDescent="0.25">
      <c r="A256" s="16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ht="15.75" x14ac:dyDescent="0.25">
      <c r="A257" s="16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ht="15.75" x14ac:dyDescent="0.25">
      <c r="A258" s="16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ht="15.75" x14ac:dyDescent="0.25">
      <c r="A259" s="16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ht="15.75" x14ac:dyDescent="0.25">
      <c r="A260" s="16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ht="15.75" x14ac:dyDescent="0.25">
      <c r="A261" s="16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ht="15.75" x14ac:dyDescent="0.25">
      <c r="A262" s="16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ht="15.75" x14ac:dyDescent="0.25">
      <c r="A263" s="16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ht="15.75" x14ac:dyDescent="0.25">
      <c r="A264" s="16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5.75" x14ac:dyDescent="0.25">
      <c r="A265" s="16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5.75" x14ac:dyDescent="0.25">
      <c r="A266" s="16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5.75" x14ac:dyDescent="0.25">
      <c r="A267" s="16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5.75" x14ac:dyDescent="0.25">
      <c r="A268" s="16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5.75" x14ac:dyDescent="0.25">
      <c r="A269" s="16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5.75" x14ac:dyDescent="0.25">
      <c r="A270" s="16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5.75" x14ac:dyDescent="0.25">
      <c r="A271" s="16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5.75" x14ac:dyDescent="0.25">
      <c r="A272" s="16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5.75" x14ac:dyDescent="0.25">
      <c r="A273" s="16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5.75" x14ac:dyDescent="0.25">
      <c r="A274" s="16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5.75" x14ac:dyDescent="0.25">
      <c r="A275" s="16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5.75" x14ac:dyDescent="0.25">
      <c r="A276" s="16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ht="15.75" x14ac:dyDescent="0.25">
      <c r="A277" s="16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5.75" x14ac:dyDescent="0.25">
      <c r="A278" s="16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5.75" x14ac:dyDescent="0.25">
      <c r="A279" s="16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5.75" x14ac:dyDescent="0.25">
      <c r="A280" s="16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5.75" x14ac:dyDescent="0.25">
      <c r="A281" s="16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5.75" x14ac:dyDescent="0.25">
      <c r="A282" s="16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5.75" x14ac:dyDescent="0.25">
      <c r="A283" s="16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5.75" x14ac:dyDescent="0.25">
      <c r="A284" s="16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5.75" x14ac:dyDescent="0.25">
      <c r="A285" s="16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5.75" x14ac:dyDescent="0.25">
      <c r="A286" s="16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5.75" x14ac:dyDescent="0.25">
      <c r="A287" s="16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5.75" x14ac:dyDescent="0.25">
      <c r="A288" s="16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5.75" x14ac:dyDescent="0.25">
      <c r="A289" s="16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5.75" x14ac:dyDescent="0.25">
      <c r="A290" s="16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5.75" x14ac:dyDescent="0.25">
      <c r="A291" s="16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5.75" x14ac:dyDescent="0.25">
      <c r="A292" s="16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5.75" x14ac:dyDescent="0.25">
      <c r="A293" s="16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5.75" x14ac:dyDescent="0.25">
      <c r="A294" s="16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5.75" x14ac:dyDescent="0.25">
      <c r="A295" s="16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5.75" x14ac:dyDescent="0.25">
      <c r="A296" s="16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5.75" x14ac:dyDescent="0.25">
      <c r="A297" s="16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5.75" x14ac:dyDescent="0.25">
      <c r="A298" s="16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5.75" x14ac:dyDescent="0.25">
      <c r="A299" s="16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5.75" x14ac:dyDescent="0.25">
      <c r="A300" s="16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5.75" x14ac:dyDescent="0.25">
      <c r="A301" s="16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5.75" x14ac:dyDescent="0.25">
      <c r="A302" s="16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5.75" x14ac:dyDescent="0.25">
      <c r="A303" s="16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5.75" x14ac:dyDescent="0.25">
      <c r="A304" s="16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5.75" x14ac:dyDescent="0.25">
      <c r="A305" s="16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5.75" x14ac:dyDescent="0.25">
      <c r="A306" s="16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5.75" x14ac:dyDescent="0.25">
      <c r="A307" s="16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5.75" x14ac:dyDescent="0.25">
      <c r="A308" s="16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5.75" x14ac:dyDescent="0.25">
      <c r="A309" s="16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5.75" x14ac:dyDescent="0.25">
      <c r="A310" s="16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5.75" x14ac:dyDescent="0.25">
      <c r="A311" s="16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5.75" x14ac:dyDescent="0.25">
      <c r="A312" s="16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5.75" x14ac:dyDescent="0.25">
      <c r="A313" s="16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5.75" x14ac:dyDescent="0.25">
      <c r="A314" s="16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5.75" x14ac:dyDescent="0.25">
      <c r="A315" s="16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5.75" x14ac:dyDescent="0.25">
      <c r="A316" s="16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5.75" x14ac:dyDescent="0.25">
      <c r="A317" s="16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5.75" x14ac:dyDescent="0.25">
      <c r="A318" s="16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5.75" x14ac:dyDescent="0.25">
      <c r="A319" s="16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5.75" x14ac:dyDescent="0.25">
      <c r="A320" s="16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5.75" x14ac:dyDescent="0.25">
      <c r="A321" s="1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5.75" x14ac:dyDescent="0.25">
      <c r="A322" s="16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5.75" x14ac:dyDescent="0.25">
      <c r="A323" s="16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5.75" x14ac:dyDescent="0.25">
      <c r="A324" s="16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5.75" x14ac:dyDescent="0.25">
      <c r="A325" s="16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5.75" x14ac:dyDescent="0.25">
      <c r="A326" s="16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5.75" x14ac:dyDescent="0.25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5.75" x14ac:dyDescent="0.25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5.75" x14ac:dyDescent="0.25">
      <c r="A329" s="16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5.75" x14ac:dyDescent="0.25">
      <c r="A330" s="16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5.75" x14ac:dyDescent="0.25">
      <c r="A331" s="16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5.75" x14ac:dyDescent="0.25">
      <c r="A332" s="16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5.75" x14ac:dyDescent="0.25">
      <c r="A333" s="16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5.75" x14ac:dyDescent="0.25">
      <c r="A334" s="16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5.75" x14ac:dyDescent="0.25">
      <c r="A335" s="16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5.75" x14ac:dyDescent="0.25">
      <c r="A336" s="16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5.75" x14ac:dyDescent="0.25">
      <c r="A337" s="16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5.75" x14ac:dyDescent="0.25">
      <c r="A338" s="16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5.75" x14ac:dyDescent="0.25">
      <c r="A339" s="16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5.75" x14ac:dyDescent="0.25">
      <c r="A340" s="16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5.75" x14ac:dyDescent="0.25">
      <c r="A341" s="16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5.75" x14ac:dyDescent="0.25">
      <c r="A342" s="16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5.75" x14ac:dyDescent="0.25">
      <c r="A343" s="16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5.75" x14ac:dyDescent="0.25">
      <c r="A344" s="16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5.75" x14ac:dyDescent="0.25">
      <c r="A345" s="16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5.75" x14ac:dyDescent="0.25">
      <c r="A346" s="16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5.75" x14ac:dyDescent="0.25">
      <c r="A347" s="16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5.75" x14ac:dyDescent="0.25">
      <c r="A348" s="16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5.75" x14ac:dyDescent="0.25">
      <c r="A349" s="16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5.75" x14ac:dyDescent="0.25">
      <c r="A350" s="16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5.75" x14ac:dyDescent="0.25">
      <c r="A351" s="16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5.75" x14ac:dyDescent="0.25">
      <c r="A352" s="16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5.75" x14ac:dyDescent="0.25">
      <c r="A353" s="16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5.75" x14ac:dyDescent="0.25">
      <c r="A354" s="16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5.75" x14ac:dyDescent="0.25">
      <c r="A355" s="16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5.75" x14ac:dyDescent="0.25">
      <c r="A356" s="16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5.75" x14ac:dyDescent="0.25">
      <c r="A357" s="16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5.75" x14ac:dyDescent="0.25">
      <c r="A358" s="16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5.75" x14ac:dyDescent="0.25">
      <c r="A359" s="16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ht="15.75" x14ac:dyDescent="0.25">
      <c r="A360" s="16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ht="15.75" x14ac:dyDescent="0.25">
      <c r="A361" s="16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ht="15.75" x14ac:dyDescent="0.25">
      <c r="A362" s="16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ht="15.75" x14ac:dyDescent="0.25">
      <c r="A363" s="16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ht="15.75" x14ac:dyDescent="0.25">
      <c r="A364" s="16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ht="15.75" x14ac:dyDescent="0.25">
      <c r="A365" s="16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ht="15.75" x14ac:dyDescent="0.25">
      <c r="A366" s="16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ht="15.75" x14ac:dyDescent="0.25">
      <c r="A367" s="16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ht="15.75" x14ac:dyDescent="0.25">
      <c r="A368" s="16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ht="15.75" x14ac:dyDescent="0.25">
      <c r="A369" s="16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ht="15.75" x14ac:dyDescent="0.25">
      <c r="A370" s="16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ht="15.75" x14ac:dyDescent="0.25">
      <c r="A371" s="16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ht="15.75" x14ac:dyDescent="0.25">
      <c r="A372" s="16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ht="15.75" x14ac:dyDescent="0.25">
      <c r="A373" s="16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ht="15.75" x14ac:dyDescent="0.25">
      <c r="A374" s="16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ht="15.75" x14ac:dyDescent="0.25">
      <c r="A375" s="16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ht="15.75" x14ac:dyDescent="0.25">
      <c r="A376" s="16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ht="15.75" x14ac:dyDescent="0.25">
      <c r="A377" s="16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ht="15.75" x14ac:dyDescent="0.25">
      <c r="A378" s="16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ht="15.75" x14ac:dyDescent="0.25">
      <c r="A379" s="16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ht="15.75" x14ac:dyDescent="0.25">
      <c r="A380" s="16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ht="15.75" x14ac:dyDescent="0.25">
      <c r="A381" s="16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ht="15.75" x14ac:dyDescent="0.25">
      <c r="A382" s="16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ht="15.75" x14ac:dyDescent="0.25">
      <c r="A383" s="16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ht="15.75" x14ac:dyDescent="0.25">
      <c r="A384" s="16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ht="15.75" x14ac:dyDescent="0.25">
      <c r="A385" s="16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ht="15.75" x14ac:dyDescent="0.25">
      <c r="A386" s="16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ht="15.75" x14ac:dyDescent="0.25">
      <c r="A387" s="16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ht="15.75" x14ac:dyDescent="0.25">
      <c r="A388" s="16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ht="15.75" x14ac:dyDescent="0.25">
      <c r="A389" s="16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ht="15.75" x14ac:dyDescent="0.25">
      <c r="A390" s="16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ht="15.75" x14ac:dyDescent="0.25">
      <c r="A391" s="16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ht="15.75" x14ac:dyDescent="0.25">
      <c r="A392" s="16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ht="15.75" x14ac:dyDescent="0.25">
      <c r="A393" s="16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ht="15.75" x14ac:dyDescent="0.25">
      <c r="A394" s="16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ht="15.75" x14ac:dyDescent="0.25">
      <c r="A395" s="16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ht="15.75" x14ac:dyDescent="0.25">
      <c r="A396" s="16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ht="15.75" x14ac:dyDescent="0.25">
      <c r="A397" s="16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ht="15.75" x14ac:dyDescent="0.25">
      <c r="A398" s="16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ht="15.75" x14ac:dyDescent="0.25">
      <c r="A399" s="16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ht="15.75" x14ac:dyDescent="0.25">
      <c r="A400" s="16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ht="15.75" x14ac:dyDescent="0.25">
      <c r="A401" s="16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ht="15.75" x14ac:dyDescent="0.25">
      <c r="A402" s="16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ht="15.75" x14ac:dyDescent="0.25">
      <c r="A403" s="16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ht="15.75" x14ac:dyDescent="0.25">
      <c r="A404" s="16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ht="15.75" x14ac:dyDescent="0.25">
      <c r="A405" s="16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ht="15.75" x14ac:dyDescent="0.25">
      <c r="A406" s="16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ht="15.75" x14ac:dyDescent="0.25">
      <c r="A407" s="16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ht="15.75" x14ac:dyDescent="0.25">
      <c r="A408" s="16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ht="15.75" x14ac:dyDescent="0.25">
      <c r="A409" s="16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ht="15.75" x14ac:dyDescent="0.25">
      <c r="A410" s="16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ht="15.75" x14ac:dyDescent="0.25">
      <c r="A411" s="16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ht="15.75" x14ac:dyDescent="0.25">
      <c r="A412" s="16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ht="15.75" x14ac:dyDescent="0.25">
      <c r="A413" s="16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ht="15.75" x14ac:dyDescent="0.25">
      <c r="A414" s="16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ht="15.75" x14ac:dyDescent="0.25">
      <c r="A415" s="16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ht="15.75" x14ac:dyDescent="0.25">
      <c r="A416" s="16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ht="15.75" x14ac:dyDescent="0.25">
      <c r="A417" s="16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ht="15.75" x14ac:dyDescent="0.25">
      <c r="A418" s="16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ht="15.75" x14ac:dyDescent="0.25">
      <c r="A419" s="16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ht="15.75" x14ac:dyDescent="0.25">
      <c r="A420" s="16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ht="15.75" x14ac:dyDescent="0.25">
      <c r="A421" s="16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ht="15.75" x14ac:dyDescent="0.25">
      <c r="A422" s="16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ht="15.75" x14ac:dyDescent="0.25">
      <c r="A423" s="16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ht="15.75" x14ac:dyDescent="0.25">
      <c r="A424" s="16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ht="15.75" x14ac:dyDescent="0.25">
      <c r="A425" s="16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ht="15.75" x14ac:dyDescent="0.25">
      <c r="A426" s="16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ht="15.75" x14ac:dyDescent="0.25">
      <c r="A427" s="16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ht="15.75" x14ac:dyDescent="0.25">
      <c r="A428" s="16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ht="15.75" x14ac:dyDescent="0.25">
      <c r="A429" s="16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ht="15.75" x14ac:dyDescent="0.25">
      <c r="A430" s="16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ht="15.75" x14ac:dyDescent="0.25">
      <c r="A431" s="16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ht="15.75" x14ac:dyDescent="0.25">
      <c r="A432" s="16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ht="15.75" x14ac:dyDescent="0.25">
      <c r="A433" s="16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ht="15.75" x14ac:dyDescent="0.25">
      <c r="A434" s="16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ht="15.75" x14ac:dyDescent="0.25">
      <c r="A435" s="16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ht="15.75" x14ac:dyDescent="0.25">
      <c r="A436" s="16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ht="15.75" x14ac:dyDescent="0.25">
      <c r="A437" s="16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ht="15.75" x14ac:dyDescent="0.25">
      <c r="A438" s="16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ht="15.75" x14ac:dyDescent="0.25">
      <c r="A439" s="16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ht="15.75" x14ac:dyDescent="0.25">
      <c r="A440" s="16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ht="15.75" x14ac:dyDescent="0.25">
      <c r="A441" s="16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ht="15.75" x14ac:dyDescent="0.25">
      <c r="A442" s="16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ht="15.75" x14ac:dyDescent="0.25">
      <c r="A443" s="16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ht="15.75" x14ac:dyDescent="0.25">
      <c r="A444" s="16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ht="15.75" x14ac:dyDescent="0.25">
      <c r="A445" s="16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ht="15.75" x14ac:dyDescent="0.25">
      <c r="A446" s="16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ht="15.75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ht="15.75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ht="15.75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ht="15.75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ht="15.75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ht="15.75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ht="15.75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ht="15.75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ht="15.75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ht="15.75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ht="15.75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ht="15.75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ht="15.75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ht="15.75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ht="15.75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ht="15.75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ht="15.75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ht="15.75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ht="15.75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ht="15.75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ht="15.75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ht="15.75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ht="15.75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ht="15.75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ht="15.75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ht="15.75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ht="15.75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ht="15.75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ht="15.75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ht="15.75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ht="15.75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ht="15.75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ht="15.75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ht="15.75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ht="15.75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ht="15.75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ht="15.75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ht="15.75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ht="15.75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ht="15.75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ht="15.75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ht="15.75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ht="15.75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ht="15.75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ht="15.75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ht="15.75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ht="15.75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ht="15.75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ht="15.75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ht="15.75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ht="15.75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ht="15.75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ht="15.75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ht="15.75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ht="15.75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ht="15.75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ht="15.75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ht="15.75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ht="15.75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ht="15.75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ht="15.75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ht="15.75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ht="15.75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ht="15.75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ht="15.75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ht="15.75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ht="15.75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ht="15.75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ht="15.75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ht="15.75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ht="15.75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ht="15.75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ht="15.75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ht="15.75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ht="15.75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ht="15.75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ht="15.75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ht="15.75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ht="15.75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ht="15.75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ht="15.75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ht="15.75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ht="15.75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ht="15.75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ht="15.75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ht="15.75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ht="15.75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ht="15.75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ht="15.75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ht="15.75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ht="15.75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ht="15.75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ht="15.75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ht="15.75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ht="15.75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ht="15.75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ht="15.75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ht="15.75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ht="15.75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ht="15.75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ht="15.75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ht="15.75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ht="15.75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ht="15.75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ht="15.75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ht="15.75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ht="15.75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ht="15.75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ht="15.75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 ht="15.75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 ht="15.75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 ht="15.75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 ht="15.75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 ht="15.75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 ht="15.75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 ht="15.75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 ht="15.75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 ht="15.75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 ht="15.75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 ht="15.75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 ht="15.75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 ht="15.75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 ht="15.75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 ht="15.75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 ht="15.75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 ht="15.75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 ht="15.75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 ht="15.75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 ht="15.75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 ht="15.75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 ht="15.75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 ht="15.75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 ht="15.75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 ht="15.75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 ht="15.75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 ht="15.75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 ht="15.75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ht="15.75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 ht="15.75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 ht="15.75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 ht="15.75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 ht="15.75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 ht="15.75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 ht="15.75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 ht="15.75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 ht="15.75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 ht="15.75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 ht="15.75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 ht="15.75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 ht="15.75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 ht="15.75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 ht="15.75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 ht="15.75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 ht="15.75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 ht="15.75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 ht="15.75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 ht="15.75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 ht="15.75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 ht="15.75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 ht="15.75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 ht="15.75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 ht="15.75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 ht="15.75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 ht="15.75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 ht="15.75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 ht="15.75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 ht="15.75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 ht="15.75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 ht="15.75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 ht="15.75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 ht="15.75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 ht="15.75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 ht="15.75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 ht="15.75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 ht="15.75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 ht="15.75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 ht="15.75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 ht="15.75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 ht="15.75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 ht="15.75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 ht="15.75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 ht="15.75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 ht="15.75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 ht="15.75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 ht="15.75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 ht="15.75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 ht="15.75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 ht="15.75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 ht="15.75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 ht="15.75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 ht="15.75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 ht="15.75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 ht="15.75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 ht="15.75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 ht="15.75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 ht="15.75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 ht="15.75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 ht="15.75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 ht="15.75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 ht="15.75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 ht="15.75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 ht="15.75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 ht="15.75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 ht="15.75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 ht="15.75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 ht="15.75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 ht="15.75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 ht="15.75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 ht="15.75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 ht="15.75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 ht="15.75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 ht="15.75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 ht="15.75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 ht="15.75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 ht="15.75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 ht="15.75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 ht="15.75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 ht="15.75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 ht="15.75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 ht="15.75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 ht="15.75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 ht="15.75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 ht="15.75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ht="15.75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ht="15.75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 ht="15.75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 ht="15.75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 ht="15.75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 ht="15.75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 ht="15.75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 ht="15.75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 ht="15.75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 ht="15.75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 ht="15.75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 ht="15.75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 ht="15.75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 ht="15.75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 ht="15.75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 ht="15.75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 ht="15.75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 ht="15.75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 ht="15.75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 ht="15.75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 ht="15.75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 ht="15.75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 ht="15.75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 ht="15.75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 ht="15.75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 ht="15.75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 ht="15.75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 ht="15.75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 ht="15.75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 ht="15.75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 ht="15.75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 ht="15.75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ht="15.75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 ht="15.75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 ht="15.75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 ht="15.75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 ht="15.75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 ht="15.75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 ht="15.75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 ht="15.75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ht="15.75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ht="15.75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ht="15.75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ht="15.75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ht="15.75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 ht="15.75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ht="15.75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 ht="15.75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 ht="15.75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 ht="15.75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 ht="15.75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 ht="15.75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 ht="15.75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 ht="15.75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 ht="15.75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 ht="15.75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 ht="15.75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 ht="15.75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 ht="15.75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 ht="15.75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 ht="15.75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 ht="15.75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 ht="15.75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 ht="15.75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 ht="15.75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 ht="15.75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 ht="15.75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 ht="15.75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 ht="15.75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 ht="15.75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 ht="15.75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 ht="15.75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 ht="15.75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 ht="15.75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 ht="15.75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 ht="15.75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 ht="15.75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 ht="15.75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 ht="15.75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 ht="15.75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 ht="15.75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 ht="15.75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 ht="15.75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 ht="15.75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 ht="15.75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 ht="15.75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 ht="15.75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 ht="15.75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 ht="15.75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 ht="15.75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 ht="15.75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 ht="15.75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 ht="15.75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 ht="15.75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 ht="15.75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 ht="15.75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 ht="15.75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 ht="15.75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 ht="15.75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 ht="15.75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 ht="15.75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 ht="15.75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 ht="15.75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 ht="15.75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 ht="15.75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 ht="15.75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 ht="15.75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 ht="15.75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 ht="15.75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 ht="15.75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 ht="15.75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 ht="15.75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 ht="15.75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 ht="15.75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 ht="15.75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 ht="15.75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 ht="15.75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 ht="15.75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 ht="15.75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 ht="15.75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 ht="15.75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 ht="15.75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 ht="15.75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 ht="15.75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 ht="15.75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 ht="15.75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 ht="15.75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 ht="15.75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 ht="15.75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ht="15.75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 ht="15.75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 ht="15.75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 ht="15.75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 ht="15.75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 ht="15.75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 ht="15.75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 ht="15.75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 ht="15.75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 ht="15.75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 ht="15.75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 ht="15.75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 ht="15.75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 ht="15.75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 ht="15.75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 ht="15.75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 ht="15.75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 ht="15.75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 ht="15.75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 ht="15.75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 ht="15.75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 ht="15.75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 ht="15.75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 ht="15.75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 ht="15.75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 ht="15.75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 ht="15.75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 ht="15.75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 ht="15.75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 ht="15.75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 ht="15.75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 ht="15.75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 ht="15.75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 ht="15.75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ht="15.75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 ht="15.75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 ht="15.75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 ht="15.75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 ht="15.75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 ht="15.75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 ht="15.75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 ht="15.75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 ht="15.75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 ht="15.75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 ht="15.75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 ht="15.75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 ht="15.75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 ht="15.75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 ht="15.75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 ht="15.75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 ht="15.75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 ht="15.75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 ht="15.75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 ht="15.75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 ht="15.75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 ht="15.75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 ht="15.75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 ht="15.75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 ht="15.75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 ht="15.75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 ht="15.75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 ht="15.75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 ht="15.75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 ht="15.75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 ht="15.75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 ht="15.75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 ht="15.75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ht="15.75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ht="15.75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 ht="15.75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 ht="15.75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 ht="15.75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 ht="15.75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 ht="15.75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 ht="15.75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 ht="15.75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ht="15.75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ht="15.75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 ht="15.75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 ht="15.75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ht="15.75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 ht="15.75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 ht="15.75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ht="15.75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 ht="15.75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 ht="15.75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 ht="15.75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 ht="15.75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 ht="15.75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 ht="15.75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 ht="15.75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 ht="15.75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 ht="15.75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 ht="15.75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 ht="15.75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 ht="15.75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 ht="15.75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 ht="15.75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 ht="15.75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 ht="15.75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 ht="15.75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 ht="15.75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 ht="15.75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ht="15.75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ht="15.75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 ht="15.75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 ht="15.75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 ht="15.75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 ht="15.75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 ht="15.75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 ht="15.75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ht="15.75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 ht="15.75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 ht="15.75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ht="15.75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ht="15.75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ht="15.75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ht="15.75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ht="15.75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ht="15.75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ht="15.75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ht="15.75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ht="15.75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ht="15.75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ht="15.75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ht="15.75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ht="15.75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ht="15.75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ht="15.75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ht="15.75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ht="15.75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ht="15.75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ht="15.75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ht="15.75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ht="15.75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ht="15.75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ht="15.75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ht="15.75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ht="15.75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ht="15.75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ht="15.75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ht="15.75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ht="15.75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ht="15.75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ht="15.75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ht="15.75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ht="15.75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ht="15.75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ht="15.75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ht="15.75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ht="15.75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ht="15.75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ht="15.75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ht="15.75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ht="15.75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ht="15.75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ht="15.75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ht="15.75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ht="15.75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ht="15.75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ht="15.75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ht="15.75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ht="15.75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ht="15.75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ht="15.75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ht="15.75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ht="15.75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ht="15.75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ht="15.75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ht="15.75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spans="1:37" ht="15.75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 ht="15.75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 ht="15.75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 ht="15.75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 ht="15.75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 ht="15.75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 ht="15.75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 ht="15.75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 ht="15.75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 ht="15.75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 ht="15.75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 ht="15.75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ht="15.75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 ht="15.75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 ht="15.75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 ht="15.75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 ht="15.75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 ht="15.75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 ht="15.75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 ht="15.75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 ht="15.75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 ht="15.75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 ht="15.75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 ht="15.75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 ht="15.75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 ht="15.75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spans="1:37" ht="15.75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spans="1:37" ht="15.75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spans="1:37" ht="15.75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spans="1:37" ht="15.75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spans="1:37" ht="15.75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spans="1:37" ht="15.75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  <row r="1001" spans="1:37" ht="15.75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</row>
    <row r="1002" spans="1:37" ht="15.75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</row>
    <row r="1003" spans="1:37" ht="15.75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</row>
    <row r="1004" spans="1:37" ht="15.75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</row>
    <row r="1005" spans="1:37" ht="15.75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</row>
    <row r="1006" spans="1:37" ht="15.75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</row>
    <row r="1007" spans="1:37" ht="15.75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</row>
    <row r="1008" spans="1:37" ht="15.75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</row>
    <row r="1009" spans="1:37" ht="15.75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</row>
    <row r="1010" spans="1:37" ht="15.75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</row>
    <row r="1011" spans="1:37" ht="15.75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</row>
    <row r="1012" spans="1:37" ht="15.75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</row>
    <row r="1013" spans="1:37" ht="15.75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</row>
    <row r="1014" spans="1:37" ht="15.75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</row>
    <row r="1015" spans="1:37" ht="15.75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</row>
    <row r="1016" spans="1:37" ht="15.75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</row>
    <row r="1017" spans="1:37" ht="15.75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</row>
    <row r="1018" spans="1:37" ht="15.75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</row>
    <row r="1019" spans="1:37" ht="15.75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</row>
    <row r="1020" spans="1:37" ht="15.75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</row>
    <row r="1021" spans="1:37" ht="15.75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</row>
    <row r="1022" spans="1:37" ht="15.75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</row>
    <row r="1023" spans="1:37" ht="15.75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</row>
    <row r="1024" spans="1:37" ht="15.75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</row>
    <row r="1025" spans="1:37" ht="15.75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</row>
    <row r="1026" spans="1:37" ht="15.75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</row>
    <row r="1027" spans="1:37" ht="15.75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</row>
    <row r="1028" spans="1:37" ht="15.75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</row>
    <row r="1029" spans="1:37" ht="15.75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</row>
    <row r="1030" spans="1:37" ht="15.75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</row>
    <row r="1031" spans="1:37" ht="15.75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</row>
    <row r="1032" spans="1:37" ht="15.75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</row>
    <row r="1033" spans="1:37" ht="15.75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</row>
    <row r="1034" spans="1:37" ht="15.75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</row>
    <row r="1035" spans="1:37" ht="15.75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</row>
    <row r="1036" spans="1:37" ht="15.75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</row>
    <row r="1037" spans="1:37" ht="15.75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</row>
    <row r="1038" spans="1:37" ht="15.75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</row>
    <row r="1039" spans="1:37" ht="15.75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</row>
    <row r="1040" spans="1:37" ht="15.75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</row>
    <row r="1041" spans="1:37" ht="15.75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</row>
    <row r="1042" spans="1:37" ht="15.75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</row>
    <row r="1043" spans="1:37" ht="15.75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</row>
    <row r="1044" spans="1:37" ht="15.75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</row>
    <row r="1045" spans="1:37" ht="15.75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</row>
    <row r="1046" spans="1:37" ht="15.75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</row>
    <row r="1047" spans="1:37" ht="15.75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</row>
    <row r="1048" spans="1:37" ht="15.75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</row>
    <row r="1049" spans="1:37" ht="15.75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</row>
    <row r="1050" spans="1:37" ht="15.75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</row>
    <row r="1051" spans="1:37" ht="15.75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</row>
    <row r="1052" spans="1:37" ht="15.75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</row>
    <row r="1053" spans="1:37" ht="15.75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</row>
    <row r="1054" spans="1:37" ht="15.75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</row>
    <row r="1055" spans="1:37" ht="15.75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</row>
    <row r="1056" spans="1:37" ht="15.75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</row>
    <row r="1057" spans="1:37" ht="15.75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</row>
    <row r="1058" spans="1:37" ht="15.75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</row>
    <row r="1059" spans="1:37" ht="15.75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</row>
    <row r="1060" spans="1:37" ht="15.75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</row>
    <row r="1061" spans="1:37" ht="15.75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</row>
    <row r="1062" spans="1:37" ht="15.75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</row>
    <row r="1063" spans="1:37" ht="15.75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</row>
    <row r="1064" spans="1:37" ht="15.75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</row>
    <row r="1065" spans="1:37" ht="15.75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</row>
    <row r="1066" spans="1:37" ht="15.75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</row>
    <row r="1067" spans="1:37" ht="15.75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</row>
    <row r="1068" spans="1:37" ht="15.75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</row>
    <row r="1069" spans="1:37" ht="15.75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</row>
    <row r="1070" spans="1:37" ht="15.75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</row>
    <row r="1071" spans="1:37" ht="15.75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</row>
    <row r="1072" spans="1:37" ht="15.75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</row>
    <row r="1073" spans="1:37" ht="15.75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</row>
    <row r="1074" spans="1:37" ht="15.75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</row>
    <row r="1075" spans="1:37" ht="15.75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</row>
    <row r="1076" spans="1:37" ht="15.75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</row>
    <row r="1077" spans="1:37" ht="15.75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</row>
    <row r="1078" spans="1:37" ht="15.75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</row>
    <row r="1079" spans="1:37" ht="15.75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</row>
    <row r="1080" spans="1:37" ht="15.75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</row>
    <row r="1081" spans="1:37" ht="15.75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</row>
    <row r="1082" spans="1:37" ht="15.75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</row>
    <row r="1083" spans="1:37" ht="15.75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</row>
    <row r="1084" spans="1:37" ht="15.75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</row>
    <row r="1085" spans="1:37" ht="15.75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</row>
    <row r="1086" spans="1:37" ht="15.75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</row>
    <row r="1087" spans="1:37" ht="15.75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</row>
    <row r="1088" spans="1:37" ht="15.75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</row>
    <row r="1089" spans="1:37" ht="15.75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</row>
    <row r="1090" spans="1:37" ht="15.75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</row>
    <row r="1091" spans="1:37" ht="15.75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</row>
    <row r="1092" spans="1:37" ht="15.75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</row>
    <row r="1093" spans="1:37" ht="15.75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</row>
    <row r="1094" spans="1:37" ht="15.75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</row>
    <row r="1095" spans="1:37" ht="15.75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</row>
    <row r="1096" spans="1:37" ht="15.75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</row>
    <row r="1097" spans="1:37" ht="15.75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</row>
    <row r="1098" spans="1:37" ht="15.75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</row>
    <row r="1099" spans="1:37" ht="15.75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</row>
    <row r="1100" spans="1:37" ht="15.75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</row>
    <row r="1101" spans="1:37" ht="15.75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</row>
    <row r="1102" spans="1:37" ht="15.75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</row>
    <row r="1103" spans="1:37" ht="15.75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</row>
    <row r="1104" spans="1:37" ht="15.75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</row>
    <row r="1105" spans="1:37" ht="15.75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</row>
    <row r="1106" spans="1:37" ht="15.75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</row>
    <row r="1107" spans="1:37" ht="15.75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</row>
    <row r="1108" spans="1:37" ht="15.75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</row>
    <row r="1109" spans="1:37" ht="15.75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</row>
    <row r="1110" spans="1:37" ht="15.75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</row>
    <row r="1111" spans="1:37" ht="15.75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</row>
    <row r="1112" spans="1:37" ht="15.75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</row>
    <row r="1113" spans="1:37" ht="15.75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</row>
    <row r="1114" spans="1:37" ht="15.75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</row>
    <row r="1115" spans="1:37" ht="15.75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</row>
    <row r="1116" spans="1:37" ht="15.75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</row>
    <row r="1117" spans="1:37" ht="15.75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</row>
    <row r="1118" spans="1:37" ht="15.75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</row>
    <row r="1119" spans="1:37" ht="15.75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</row>
    <row r="1120" spans="1:37" ht="15.75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</row>
    <row r="1121" spans="1:37" ht="15.75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</row>
    <row r="1122" spans="1:37" ht="15.75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</row>
    <row r="1123" spans="1:37" ht="15.75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</row>
    <row r="1124" spans="1:37" ht="15.75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</row>
    <row r="1125" spans="1:37" ht="15.75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</row>
    <row r="1126" spans="1:37" ht="15.75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</row>
    <row r="1127" spans="1:37" ht="15.75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</row>
    <row r="1128" spans="1:37" ht="15.75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</row>
    <row r="1129" spans="1:37" ht="15.75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</row>
    <row r="1130" spans="1:37" ht="15.75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</row>
    <row r="1131" spans="1:37" ht="15.75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</row>
    <row r="1132" spans="1:37" ht="15.75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</row>
    <row r="1133" spans="1:37" ht="15.75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</row>
    <row r="1134" spans="1:37" ht="15.75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</row>
    <row r="1135" spans="1:37" ht="15.75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</row>
    <row r="1136" spans="1:37" ht="15.75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</row>
    <row r="1137" spans="1:37" ht="15.75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</row>
    <row r="1138" spans="1:37" ht="15.75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</row>
    <row r="1139" spans="1:37" ht="15.75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</row>
    <row r="1140" spans="1:37" ht="15.75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</row>
    <row r="1141" spans="1:37" ht="15.75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</row>
    <row r="1142" spans="1:37" ht="15.75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</row>
    <row r="1143" spans="1:37" ht="15.75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</row>
    <row r="1144" spans="1:37" ht="15.75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</row>
    <row r="1145" spans="1:37" ht="15.75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</row>
    <row r="1146" spans="1:37" ht="15.75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</row>
    <row r="1147" spans="1:37" ht="15.75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</row>
    <row r="1148" spans="1:37" ht="15.75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</row>
    <row r="1149" spans="1:37" ht="15.75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</row>
    <row r="1150" spans="1:37" ht="15.75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</row>
    <row r="1151" spans="1:37" ht="15.75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</row>
    <row r="1152" spans="1:37" ht="15.75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</row>
    <row r="1153" spans="1:37" ht="15.75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</row>
    <row r="1154" spans="1:37" ht="15.75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</row>
    <row r="1155" spans="1:37" ht="15.75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</row>
    <row r="1156" spans="1:37" ht="15.75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</row>
    <row r="1157" spans="1:37" ht="15.75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</row>
    <row r="1158" spans="1:37" ht="15.75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</row>
    <row r="1159" spans="1:37" ht="15.75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</row>
    <row r="1160" spans="1:37" ht="15.75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</row>
    <row r="1161" spans="1:37" ht="15.75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</row>
    <row r="1162" spans="1:37" ht="15.75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</row>
    <row r="1163" spans="1:37" ht="15.75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</row>
    <row r="1164" spans="1:37" ht="15.75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</row>
    <row r="1165" spans="1:37" ht="15.75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</row>
    <row r="1166" spans="1:37" ht="15.75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</row>
    <row r="1167" spans="1:37" ht="15.75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</row>
    <row r="1168" spans="1:37" ht="15.75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</row>
    <row r="1169" spans="1:37" ht="15.75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</row>
    <row r="1170" spans="1:37" ht="15.75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</row>
    <row r="1171" spans="1:37" ht="15.75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</row>
    <row r="1172" spans="1:37" ht="15.75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</row>
    <row r="1173" spans="1:37" ht="15.75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</row>
    <row r="1174" spans="1:37" ht="15.75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</row>
    <row r="1175" spans="1:37" ht="15.75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</row>
    <row r="1176" spans="1:37" ht="15.75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</row>
    <row r="1177" spans="1:37" ht="15.75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</row>
    <row r="1178" spans="1:37" ht="15.75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</row>
    <row r="1179" spans="1:37" ht="15.75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</row>
    <row r="1180" spans="1:37" ht="15.75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</row>
    <row r="1181" spans="1:37" ht="15.75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</row>
    <row r="1182" spans="1:37" ht="15.75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</row>
    <row r="1183" spans="1:37" ht="15.75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</row>
    <row r="1184" spans="1:37" ht="15.75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</row>
    <row r="1185" spans="1:37" ht="15.75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</row>
    <row r="1186" spans="1:37" ht="15.75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</row>
    <row r="1187" spans="1:37" ht="15.75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</row>
    <row r="1188" spans="1:37" ht="15.75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</row>
    <row r="1189" spans="1:37" ht="15.75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</row>
    <row r="1190" spans="1:37" ht="15.75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</row>
    <row r="1191" spans="1:37" ht="15.75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</row>
    <row r="1192" spans="1:37" ht="15.75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</row>
    <row r="1193" spans="1:37" ht="15.75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</row>
    <row r="1194" spans="1:37" ht="15.75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</row>
    <row r="1195" spans="1:37" ht="15.75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</row>
    <row r="1196" spans="1:37" ht="15.75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</row>
    <row r="1197" spans="1:37" ht="15.75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</row>
    <row r="1198" spans="1:37" ht="15.75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</row>
    <row r="1199" spans="1:37" ht="15.75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</row>
    <row r="1200" spans="1:37" ht="15.75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</row>
    <row r="1201" spans="1:37" ht="15.75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</row>
    <row r="1202" spans="1:37" ht="15.75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</row>
    <row r="1203" spans="1:37" ht="15.75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</row>
    <row r="1204" spans="1:37" ht="15.75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</row>
    <row r="1205" spans="1:37" ht="15.75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</row>
    <row r="1206" spans="1:37" ht="15.75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</row>
    <row r="1207" spans="1:37" ht="15.75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</row>
    <row r="1208" spans="1:37" ht="15.75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</row>
    <row r="1209" spans="1:37" ht="15.75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</row>
    <row r="1210" spans="1:37" ht="15.75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</row>
    <row r="1211" spans="1:37" ht="15.75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</row>
    <row r="1212" spans="1:37" ht="15.75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</row>
    <row r="1213" spans="1:37" ht="15.75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</row>
    <row r="1214" spans="1:37" ht="15.75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</row>
    <row r="1215" spans="1:37" ht="15.75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</row>
    <row r="1216" spans="1:37" ht="15.75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</row>
    <row r="1217" spans="1:37" ht="15.75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</row>
    <row r="1218" spans="1:37" ht="15.75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</row>
    <row r="1219" spans="1:37" ht="15.75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</row>
    <row r="1220" spans="1:37" ht="15.75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</row>
    <row r="1221" spans="1:37" ht="15.75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</row>
    <row r="1222" spans="1:37" ht="15.75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</row>
    <row r="1223" spans="1:37" ht="15.75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</row>
    <row r="1224" spans="1:37" ht="15.75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</row>
    <row r="1225" spans="1:37" ht="15.75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</row>
    <row r="1226" spans="1:37" ht="15.75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</row>
    <row r="1227" spans="1:37" ht="15.75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</row>
    <row r="1228" spans="1:37" ht="15.75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</row>
    <row r="1229" spans="1:37" ht="15.75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</row>
    <row r="1230" spans="1:37" ht="15.75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</row>
    <row r="1231" spans="1:37" ht="15.75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</row>
    <row r="1232" spans="1:37" ht="15.75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</row>
    <row r="1233" spans="1:37" ht="15.75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</row>
    <row r="1234" spans="1:37" ht="15.75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</row>
    <row r="1235" spans="1:37" ht="15.75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</row>
    <row r="1236" spans="1:37" ht="15.75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</row>
    <row r="1237" spans="1:37" ht="15.75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</row>
    <row r="1238" spans="1:37" ht="15.75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</row>
    <row r="1239" spans="1:37" ht="15.75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</row>
    <row r="1240" spans="1:37" ht="15.75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</row>
    <row r="1241" spans="1:37" ht="15.75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</row>
    <row r="1242" spans="1:37" ht="15.75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</row>
    <row r="1243" spans="1:37" ht="15.75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</row>
    <row r="1244" spans="1:37" ht="15.75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</row>
    <row r="1245" spans="1:37" ht="15.75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</row>
    <row r="1246" spans="1:37" ht="15.75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</row>
    <row r="1247" spans="1:37" ht="15.75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</row>
    <row r="1248" spans="1:37" ht="15.75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</row>
    <row r="1249" spans="1:37" ht="15.75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</row>
    <row r="1250" spans="1:37" ht="15.75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</row>
    <row r="1251" spans="1:37" ht="15.75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</row>
    <row r="1252" spans="1:37" ht="15.75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</row>
    <row r="1253" spans="1:37" ht="15.75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</row>
    <row r="1254" spans="1:37" ht="15.75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</row>
    <row r="1255" spans="1:37" ht="15.75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</row>
    <row r="1256" spans="1:37" ht="15.75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</row>
    <row r="1257" spans="1:37" ht="15.75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</row>
    <row r="1258" spans="1:37" ht="15.75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</row>
    <row r="1259" spans="1:37" ht="15.75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</row>
    <row r="1260" spans="1:37" ht="15.75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</row>
    <row r="1261" spans="1:37" ht="15.75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</row>
    <row r="1262" spans="1:37" ht="15.75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</row>
    <row r="1263" spans="1:37" ht="15.75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</row>
    <row r="1264" spans="1:37" ht="15.75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</row>
    <row r="1265" spans="1:37" ht="15.75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</row>
    <row r="1266" spans="1:37" ht="15.75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</row>
    <row r="1267" spans="1:37" ht="15.75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</row>
    <row r="1268" spans="1:37" ht="15.75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</row>
    <row r="1269" spans="1:37" ht="15.75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</row>
    <row r="1270" spans="1:37" ht="15.75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</row>
    <row r="1271" spans="1:37" ht="15.75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</row>
    <row r="1272" spans="1:37" ht="15.75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</row>
    <row r="1273" spans="1:37" ht="15.75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</row>
    <row r="1274" spans="1:37" ht="15.75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</row>
    <row r="1275" spans="1:37" ht="15.75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</row>
    <row r="1276" spans="1:37" ht="15.75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</row>
    <row r="1277" spans="1:37" ht="15.75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</row>
    <row r="1278" spans="1:37" ht="15.75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</row>
    <row r="1279" spans="1:37" ht="15.75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</row>
    <row r="1280" spans="1:37" ht="15.75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</row>
    <row r="1281" spans="1:37" ht="15.75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</row>
    <row r="1282" spans="1:37" ht="15.75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</row>
    <row r="1283" spans="1:37" ht="15.75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</row>
    <row r="1284" spans="1:37" ht="15.75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</row>
    <row r="1285" spans="1:37" ht="15.75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</row>
    <row r="1286" spans="1:37" ht="15.75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</row>
    <row r="1287" spans="1:37" ht="15.75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</row>
    <row r="1288" spans="1:37" ht="15.75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</row>
    <row r="1289" spans="1:37" ht="15.75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</row>
    <row r="1290" spans="1:37" ht="15.75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</row>
    <row r="1291" spans="1:37" ht="15.75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</row>
    <row r="1292" spans="1:37" ht="15.75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</row>
    <row r="1293" spans="1:37" ht="15.75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</row>
    <row r="1294" spans="1:37" ht="15.75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</row>
    <row r="1295" spans="1:37" ht="15.75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</row>
    <row r="1296" spans="1:37" ht="15.75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</row>
    <row r="1297" spans="1:37" ht="15.75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</row>
    <row r="1298" spans="1:37" ht="15.75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</row>
    <row r="1299" spans="1:37" ht="15.75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</row>
    <row r="1300" spans="1:37" ht="15.75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</row>
    <row r="1301" spans="1:37" ht="15.75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</row>
    <row r="1302" spans="1:37" ht="15.75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</row>
    <row r="1303" spans="1:37" ht="15.75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</row>
    <row r="1304" spans="1:37" ht="15.75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</row>
    <row r="1305" spans="1:37" ht="15.75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</row>
    <row r="1306" spans="1:37" ht="15.75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</row>
    <row r="1307" spans="1:37" ht="15.75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</row>
    <row r="1308" spans="1:37" ht="15.75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</row>
    <row r="1309" spans="1:37" ht="15.75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</row>
    <row r="1310" spans="1:37" ht="15.75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</row>
    <row r="1311" spans="1:37" ht="15.75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</row>
    <row r="1312" spans="1:37" ht="15.75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</row>
    <row r="1313" spans="1:37" ht="15.75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</row>
    <row r="1314" spans="1:37" ht="15.75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</row>
    <row r="1315" spans="1:37" ht="15.75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</row>
    <row r="1316" spans="1:37" ht="15.75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</row>
    <row r="1317" spans="1:37" ht="15.75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</row>
    <row r="1318" spans="1:37" ht="15.75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</row>
    <row r="1319" spans="1:37" ht="15.75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</row>
    <row r="1320" spans="1:37" ht="15.75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</row>
    <row r="1321" spans="1:37" ht="15.75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</row>
    <row r="1322" spans="1:37" ht="15.75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</row>
    <row r="1323" spans="1:37" ht="15.75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</row>
    <row r="1324" spans="1:37" ht="15.75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</row>
    <row r="1325" spans="1:37" ht="15.75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</row>
    <row r="1326" spans="1:37" ht="15.75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</row>
    <row r="1327" spans="1:37" ht="15.75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</row>
    <row r="1328" spans="1:37" ht="15.75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</row>
    <row r="1329" spans="1:37" ht="15.75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</row>
    <row r="1330" spans="1:37" ht="15.75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</row>
    <row r="1331" spans="1:37" ht="15.75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</row>
    <row r="1332" spans="1:37" ht="15.75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</row>
    <row r="1333" spans="1:37" ht="15.75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</row>
    <row r="1334" spans="1:37" ht="15.75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</row>
    <row r="1335" spans="1:37" ht="15.75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</row>
    <row r="1336" spans="1:37" ht="15.75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</row>
    <row r="1337" spans="1:37" ht="15.75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</row>
    <row r="1338" spans="1:37" ht="15.75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</row>
    <row r="1339" spans="1:37" ht="15.75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</row>
    <row r="1340" spans="1:37" ht="15.75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</row>
    <row r="1341" spans="1:37" ht="15.75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</row>
    <row r="1342" spans="1:37" ht="15.75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</row>
    <row r="1343" spans="1:37" ht="15.75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</row>
    <row r="1344" spans="1:37" ht="15.75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</row>
    <row r="1345" spans="1:37" ht="15.75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</row>
    <row r="1346" spans="1:37" ht="15.75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</row>
    <row r="1347" spans="1:37" ht="15.75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</row>
    <row r="1348" spans="1:37" ht="15.75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</row>
    <row r="1349" spans="1:37" ht="15.75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</row>
    <row r="1350" spans="1:37" ht="15.75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</row>
    <row r="1351" spans="1:37" ht="15.75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</row>
    <row r="1352" spans="1:37" ht="15.75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</row>
    <row r="1353" spans="1:37" ht="15.75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</row>
    <row r="1354" spans="1:37" ht="15.75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</row>
    <row r="1355" spans="1:37" ht="15.75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</row>
    <row r="1356" spans="1:37" ht="15.75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</row>
    <row r="1357" spans="1:37" ht="15.75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</row>
    <row r="1358" spans="1:37" ht="15.75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</row>
    <row r="1359" spans="1:37" ht="15.75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</row>
    <row r="1360" spans="1:37" ht="15.75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</row>
    <row r="1361" spans="1:37" ht="15.75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</row>
    <row r="1362" spans="1:37" ht="15.75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</row>
    <row r="1363" spans="1:37" ht="15.75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</row>
    <row r="1364" spans="1:37" ht="15.75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</row>
    <row r="1365" spans="1:37" ht="15.75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</row>
    <row r="1366" spans="1:37" ht="15.75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</row>
    <row r="1367" spans="1:37" ht="15.75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</row>
    <row r="1368" spans="1:37" ht="15.75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</row>
    <row r="1369" spans="1:37" ht="15.75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</row>
    <row r="1370" spans="1:37" ht="15.75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</row>
    <row r="1371" spans="1:37" ht="15.75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</row>
    <row r="1372" spans="1:37" ht="15.75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</row>
    <row r="1373" spans="1:37" ht="15.75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</row>
    <row r="1374" spans="1:37" ht="15.75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</row>
    <row r="1375" spans="1:37" ht="15.75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</row>
    <row r="1376" spans="1:37" ht="15.75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</row>
    <row r="1377" spans="1:37" ht="15.75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</row>
    <row r="1378" spans="1:37" ht="15.75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</row>
    <row r="1379" spans="1:37" ht="15.75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</row>
    <row r="1380" spans="1:37" ht="15.75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</row>
    <row r="1381" spans="1:37" ht="15.75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</row>
    <row r="1382" spans="1:37" ht="15.75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</row>
    <row r="1383" spans="1:37" ht="15.75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</row>
    <row r="1384" spans="1:37" ht="15.75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</row>
    <row r="1385" spans="1:37" ht="15.75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</row>
    <row r="1386" spans="1:37" ht="15.75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</row>
    <row r="1387" spans="1:37" ht="15.75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</row>
    <row r="1388" spans="1:37" ht="15.75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</row>
    <row r="1389" spans="1:37" ht="15.75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</row>
    <row r="1390" spans="1:37" ht="15.75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</row>
    <row r="1391" spans="1:37" ht="15.75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</row>
    <row r="1392" spans="1:37" ht="15.75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</row>
    <row r="1393" spans="1:37" ht="15.75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</row>
    <row r="1394" spans="1:37" ht="15.75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</row>
    <row r="1395" spans="1:37" ht="15.75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</row>
    <row r="1396" spans="1:37" ht="15.75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</row>
    <row r="1397" spans="1:37" ht="15.75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</row>
    <row r="1398" spans="1:37" ht="15.75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</row>
    <row r="1399" spans="1:37" ht="15.75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</row>
    <row r="1400" spans="1:37" ht="15.75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</row>
    <row r="1401" spans="1:37" ht="15.75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</row>
    <row r="1402" spans="1:37" ht="15.75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</row>
    <row r="1403" spans="1:37" ht="15.75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</row>
    <row r="1404" spans="1:37" ht="15.75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</row>
    <row r="1405" spans="1:37" ht="15.75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</row>
    <row r="1406" spans="1:37" ht="15.75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</row>
    <row r="1407" spans="1:37" ht="15.75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</row>
    <row r="1408" spans="1:37" ht="15.75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</row>
    <row r="1409" spans="1:37" ht="15.75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</row>
    <row r="1410" spans="1:37" ht="15.75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</row>
    <row r="1411" spans="1:37" ht="15.75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</row>
    <row r="1412" spans="1:37" ht="15.75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</row>
    <row r="1413" spans="1:37" ht="15.75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</row>
    <row r="1414" spans="1:37" ht="15.75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</row>
    <row r="1415" spans="1:37" ht="15.75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</row>
    <row r="1416" spans="1:37" ht="15.75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</row>
    <row r="1417" spans="1:37" ht="15.75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</row>
    <row r="1418" spans="1:37" ht="15.75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</row>
    <row r="1419" spans="1:37" ht="15.75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</row>
    <row r="1420" spans="1:37" ht="15.75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</row>
    <row r="1421" spans="1:37" ht="15.75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</row>
    <row r="1422" spans="1:37" ht="15.75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</row>
    <row r="1423" spans="1:37" ht="15.75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</row>
    <row r="1424" spans="1:37" ht="15.75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</row>
    <row r="1425" spans="1:37" ht="15.75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</row>
    <row r="1426" spans="1:37" ht="15.75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</row>
    <row r="1427" spans="1:37" ht="15.75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</row>
    <row r="1428" spans="1:37" ht="15.75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</row>
    <row r="1429" spans="1:37" ht="15.75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</row>
    <row r="1430" spans="1:37" ht="15.75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</row>
    <row r="1431" spans="1:37" ht="15.75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</row>
    <row r="1432" spans="1:37" ht="15.75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</row>
    <row r="1433" spans="1:37" ht="15.75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</row>
    <row r="1434" spans="1:37" ht="15.75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</row>
    <row r="1435" spans="1:37" ht="15.75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</row>
    <row r="1436" spans="1:37" ht="15.75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</row>
    <row r="1437" spans="1:37" ht="15.75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</row>
    <row r="1438" spans="1:37" ht="15.75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</row>
    <row r="1439" spans="1:37" ht="15.75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</row>
    <row r="1440" spans="1:37" ht="15.75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</row>
    <row r="1441" spans="1:37" ht="15.75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</row>
    <row r="1442" spans="1:37" ht="15.75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</row>
    <row r="1443" spans="1:37" ht="15.75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</row>
    <row r="1444" spans="1:37" ht="15.75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</row>
    <row r="1445" spans="1:37" ht="15.75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</row>
    <row r="1446" spans="1:37" ht="15.75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</row>
    <row r="1447" spans="1:37" ht="15.75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</row>
    <row r="1448" spans="1:37" ht="15.75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</row>
    <row r="1449" spans="1:37" ht="15.75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</row>
    <row r="1450" spans="1:37" ht="15.75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</row>
    <row r="1451" spans="1:37" ht="15.75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</row>
    <row r="1452" spans="1:37" ht="15.75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</row>
    <row r="1453" spans="1:37" ht="15.75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</row>
    <row r="1454" spans="1:37" ht="15.75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</row>
    <row r="1455" spans="1:37" ht="15.75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</row>
    <row r="1456" spans="1:37" ht="15.75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</row>
    <row r="1457" spans="1:37" ht="15.75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</row>
    <row r="1458" spans="1:37" ht="15.75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</row>
    <row r="1459" spans="1:37" ht="15.75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</row>
    <row r="1460" spans="1:37" ht="15.75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</row>
    <row r="1461" spans="1:37" ht="15.75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</row>
    <row r="1462" spans="1:37" ht="15.75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</row>
    <row r="1463" spans="1:37" ht="15.75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</row>
    <row r="1464" spans="1:37" ht="15.75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</row>
    <row r="1465" spans="1:37" ht="15.75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</row>
    <row r="1466" spans="1:37" ht="15.75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</row>
    <row r="1467" spans="1:37" ht="15.75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</row>
    <row r="1468" spans="1:37" ht="15.75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</row>
    <row r="1469" spans="1:37" ht="15.75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</row>
    <row r="1470" spans="1:37" ht="15.75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</row>
    <row r="1471" spans="1:37" ht="15.75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</row>
    <row r="1472" spans="1:37" ht="15.75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</row>
    <row r="1473" spans="1:37" ht="15.75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</row>
    <row r="1474" spans="1:37" ht="15.75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</row>
    <row r="1475" spans="1:37" ht="15.75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</row>
    <row r="1476" spans="1:37" ht="15.75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</row>
    <row r="1477" spans="1:37" ht="15.75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</row>
    <row r="1478" spans="1:37" ht="15.75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</row>
    <row r="1479" spans="1:37" ht="15.75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</row>
    <row r="1480" spans="1:37" ht="15.75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</row>
    <row r="1481" spans="1:37" ht="15.75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</row>
    <row r="1482" spans="1:37" ht="15.75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</row>
    <row r="1483" spans="1:37" ht="15.75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</row>
    <row r="1484" spans="1:37" ht="15.75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</row>
    <row r="1485" spans="1:37" ht="15.75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</row>
    <row r="1486" spans="1:37" ht="15.75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</row>
    <row r="1487" spans="1:37" ht="15.75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</row>
    <row r="1488" spans="1:37" ht="15.75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</row>
    <row r="1489" spans="1:37" ht="15.75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</row>
    <row r="1490" spans="1:37" ht="15.75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</row>
    <row r="1491" spans="1:37" ht="15.75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</row>
    <row r="1492" spans="1:37" ht="15.75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</row>
    <row r="1493" spans="1:37" ht="15.75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</row>
    <row r="1494" spans="1:37" ht="15.75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</row>
    <row r="1495" spans="1:37" ht="15.75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</row>
    <row r="1496" spans="1:37" ht="15.75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</row>
    <row r="1497" spans="1:37" ht="15.75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</row>
    <row r="1498" spans="1:37" ht="15.75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</row>
    <row r="1499" spans="1:37" ht="15.75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</row>
    <row r="1500" spans="1:37" ht="15.75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</row>
    <row r="1501" spans="1:37" ht="15.75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</row>
    <row r="1502" spans="1:37" ht="15.75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</row>
    <row r="1503" spans="1:37" ht="15.75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</row>
    <row r="1504" spans="1:37" ht="15.75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</row>
    <row r="1505" spans="1:37" ht="15.75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</row>
    <row r="1506" spans="1:37" ht="15.75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</row>
    <row r="1507" spans="1:37" ht="15.75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</row>
    <row r="1508" spans="1:37" ht="15.75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</row>
    <row r="1509" spans="1:37" ht="15.75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</row>
    <row r="1510" spans="1:37" ht="15.75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</row>
    <row r="1511" spans="1:37" ht="15.75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</row>
    <row r="1512" spans="1:37" ht="15.75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</row>
    <row r="1513" spans="1:37" ht="15.75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</row>
    <row r="1514" spans="1:37" ht="15.75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</row>
    <row r="1515" spans="1:37" ht="15.75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</row>
    <row r="1516" spans="1:37" ht="15.75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</row>
    <row r="1517" spans="1:37" ht="15.75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</row>
    <row r="1518" spans="1:37" ht="15.75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</row>
    <row r="1519" spans="1:37" ht="15.75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</row>
    <row r="1520" spans="1:37" ht="15.75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</row>
    <row r="1521" spans="1:37" ht="15.75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</row>
    <row r="1522" spans="1:37" ht="15.75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</row>
    <row r="1523" spans="1:37" ht="15.75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</row>
    <row r="1524" spans="1:37" ht="15.75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</row>
    <row r="1525" spans="1:37" ht="15.75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</row>
    <row r="1526" spans="1:37" ht="15.75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</row>
    <row r="1527" spans="1:37" ht="15.75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</row>
    <row r="1528" spans="1:37" ht="15.75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</row>
    <row r="1529" spans="1:37" ht="15.75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</row>
    <row r="1530" spans="1:37" ht="15.75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</row>
    <row r="1531" spans="1:37" ht="15.75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</row>
    <row r="1532" spans="1:37" ht="15.75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</row>
    <row r="1533" spans="1:37" ht="15.75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</row>
    <row r="1534" spans="1:37" ht="15.75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</row>
    <row r="1535" spans="1:37" ht="15.75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</row>
    <row r="1536" spans="1:37" ht="15.75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</row>
    <row r="1537" spans="1:37" ht="15.75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</row>
    <row r="1538" spans="1:37" ht="15.75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</row>
    <row r="1539" spans="1:37" ht="15.75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</row>
    <row r="1540" spans="1:37" ht="15.75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</row>
    <row r="1541" spans="1:37" ht="15.75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</row>
    <row r="1542" spans="1:37" ht="15.75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</row>
    <row r="1543" spans="1:37" ht="15.75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</row>
    <row r="1544" spans="1:37" ht="15.75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</row>
    <row r="1545" spans="1:37" ht="15.75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</row>
    <row r="1546" spans="1:37" ht="15.75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</row>
    <row r="1547" spans="1:37" ht="15.75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</row>
    <row r="1548" spans="1:37" ht="15.75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</row>
    <row r="1549" spans="1:37" ht="15.75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</row>
    <row r="1550" spans="1:37" ht="15.75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</row>
    <row r="1551" spans="1:37" ht="15.75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</row>
    <row r="1552" spans="1:37" ht="15.75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</row>
    <row r="1553" spans="1:37" ht="15.75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</row>
    <row r="1554" spans="1:37" ht="15.75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</row>
    <row r="1555" spans="1:37" ht="15.75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</row>
    <row r="1556" spans="1:37" ht="15.75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</row>
    <row r="1557" spans="1:37" ht="15.75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</row>
    <row r="1558" spans="1:37" ht="15.75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</row>
    <row r="1559" spans="1:37" ht="15.75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</row>
    <row r="1560" spans="1:37" ht="15.75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</row>
    <row r="1561" spans="1:37" ht="15.75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</row>
    <row r="1562" spans="1:37" ht="15.75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</row>
    <row r="1563" spans="1:37" ht="15.75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</row>
    <row r="1564" spans="1:37" ht="15.75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</row>
    <row r="1565" spans="1:37" ht="15.75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</row>
    <row r="1566" spans="1:37" ht="15.75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</row>
    <row r="1567" spans="1:37" ht="15.75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</row>
    <row r="1568" spans="1:37" ht="15.75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</row>
    <row r="1569" spans="1:37" ht="15.75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</row>
    <row r="1570" spans="1:37" ht="15.75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</row>
    <row r="1571" spans="1:37" ht="15.75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</row>
    <row r="1572" spans="1:37" ht="15.75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</row>
    <row r="1573" spans="1:37" ht="15.75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</row>
    <row r="1574" spans="1:37" ht="15.75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</row>
    <row r="1575" spans="1:37" ht="15.75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</row>
    <row r="1576" spans="1:37" ht="15.75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</row>
    <row r="1577" spans="1:37" ht="15.75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</row>
    <row r="1578" spans="1:37" ht="15.75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</row>
    <row r="1579" spans="1:37" ht="15.75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</row>
    <row r="1580" spans="1:37" ht="15.75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</row>
    <row r="1581" spans="1:37" ht="15.75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</row>
    <row r="1582" spans="1:37" ht="15.75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</row>
    <row r="1583" spans="1:37" ht="15.75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</row>
    <row r="1584" spans="1:37" ht="15.75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</row>
    <row r="1585" spans="1:37" ht="15.75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</row>
    <row r="1586" spans="1:37" ht="15.75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</row>
    <row r="1587" spans="1:37" ht="15.75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</row>
    <row r="1588" spans="1:37" ht="15.75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</row>
    <row r="1589" spans="1:37" ht="15.75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</row>
    <row r="1590" spans="1:37" ht="15.75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</row>
    <row r="1591" spans="1:37" ht="15.75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</row>
    <row r="1592" spans="1:37" ht="15.75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</row>
    <row r="1593" spans="1:37" ht="15.75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</row>
    <row r="1594" spans="1:37" ht="15.75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</row>
    <row r="1595" spans="1:37" ht="15.75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</row>
    <row r="1596" spans="1:37" ht="15.75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</row>
    <row r="1597" spans="1:37" ht="15.75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</row>
    <row r="1598" spans="1:37" ht="15.75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</row>
    <row r="1599" spans="1:37" ht="15.75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</row>
    <row r="1600" spans="1:37" ht="15.75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</row>
    <row r="1601" spans="1:37" ht="15.75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</row>
    <row r="1602" spans="1:37" ht="15.75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</row>
    <row r="1603" spans="1:37" ht="15.75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</row>
    <row r="1604" spans="1:37" ht="15.75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</row>
    <row r="1605" spans="1:37" ht="15.75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</row>
    <row r="1606" spans="1:37" ht="15.75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</row>
    <row r="1607" spans="1:37" ht="15.75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</row>
    <row r="1608" spans="1:37" ht="15.75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</row>
    <row r="1609" spans="1:37" ht="15.75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</row>
    <row r="1610" spans="1:37" ht="15.75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</row>
    <row r="1611" spans="1:37" ht="15.75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</row>
    <row r="1612" spans="1:37" ht="15.75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</row>
    <row r="1613" spans="1:37" ht="15.75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</row>
    <row r="1614" spans="1:37" ht="15.75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</row>
    <row r="1615" spans="1:37" ht="15.75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</row>
    <row r="1616" spans="1:37" ht="15.75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</row>
    <row r="1617" spans="1:37" ht="15.75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</row>
    <row r="1618" spans="1:37" ht="15.75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</row>
    <row r="1619" spans="1:37" ht="15.75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</row>
    <row r="1620" spans="1:37" ht="15.75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</row>
    <row r="1621" spans="1:37" ht="15.75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</row>
    <row r="1622" spans="1:37" ht="15.75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</row>
    <row r="1623" spans="1:37" ht="15.75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</row>
    <row r="1624" spans="1:37" ht="15.75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</row>
    <row r="1625" spans="1:37" ht="15.75" x14ac:dyDescent="0.25">
      <c r="A1625" s="7"/>
      <c r="B1625" s="7"/>
      <c r="C1625" s="7"/>
      <c r="D1625" s="7"/>
      <c r="E1625" s="7"/>
      <c r="F1625" s="13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</row>
    <row r="1626" spans="1:37" ht="15.75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</row>
    <row r="1627" spans="1:37" ht="15.75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</row>
    <row r="1628" spans="1:37" ht="15.75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</row>
    <row r="1629" spans="1:37" ht="15.75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</row>
    <row r="1630" spans="1:37" ht="15.75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</row>
    <row r="1631" spans="1:37" ht="15.75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</row>
    <row r="1632" spans="1:37" ht="15.75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</row>
    <row r="1633" spans="1:37" ht="15.75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</row>
    <row r="1634" spans="1:37" ht="15.75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</row>
    <row r="1635" spans="1:37" ht="15.75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</row>
    <row r="1636" spans="1:37" ht="15.75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</row>
    <row r="1637" spans="1:37" ht="15.75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</row>
    <row r="1638" spans="1:37" ht="15.75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</row>
    <row r="1639" spans="1:37" ht="15.75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</row>
    <row r="1640" spans="1:37" ht="15.75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</row>
    <row r="1641" spans="1:37" ht="15.75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</row>
    <row r="1642" spans="1:37" ht="15.75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</row>
    <row r="1643" spans="1:37" ht="15.75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</row>
    <row r="1644" spans="1:37" ht="15.75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</row>
    <row r="1645" spans="1:37" ht="15.75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</row>
    <row r="1646" spans="1:37" ht="15.75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</row>
    <row r="1647" spans="1:37" ht="15.75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</row>
    <row r="1648" spans="1:37" ht="15.75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</row>
    <row r="1649" spans="1:37" ht="15.75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</row>
    <row r="1650" spans="1:37" ht="15.75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</row>
    <row r="1651" spans="1:37" ht="15.75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</row>
    <row r="1652" spans="1:37" ht="15.75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</row>
    <row r="1653" spans="1:37" ht="15.75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</row>
    <row r="1654" spans="1:37" ht="15.75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</row>
    <row r="1655" spans="1:37" ht="15.75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</row>
    <row r="1656" spans="1:37" ht="15.75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</row>
    <row r="1657" spans="1:37" ht="15.75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</row>
    <row r="1658" spans="1:37" ht="15.75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</row>
    <row r="1659" spans="1:37" ht="15.75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</row>
    <row r="1660" spans="1:37" ht="15.75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</row>
    <row r="1661" spans="1:37" ht="15.75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</row>
    <row r="1662" spans="1:37" ht="15.75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</row>
    <row r="1663" spans="1:37" ht="15.75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</row>
    <row r="1664" spans="1:37" ht="15.75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</row>
    <row r="1665" spans="1:37" ht="15.75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</row>
    <row r="1666" spans="1:37" ht="15.75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</row>
    <row r="1667" spans="1:37" ht="15.75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</row>
    <row r="1668" spans="1:37" ht="15.75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</row>
    <row r="1669" spans="1:37" ht="15.75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</row>
    <row r="1670" spans="1:37" ht="15.75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</row>
    <row r="1671" spans="1:37" ht="15.75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</row>
    <row r="1672" spans="1:37" ht="15.75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</row>
    <row r="1673" spans="1:37" ht="15.75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</row>
    <row r="1674" spans="1:37" ht="15.75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</row>
    <row r="1675" spans="1:37" ht="15.75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</row>
    <row r="1676" spans="1:37" ht="15.75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</row>
    <row r="1677" spans="1:37" ht="15.75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</row>
    <row r="1678" spans="1:37" ht="15.75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</row>
    <row r="1679" spans="1:37" ht="15.75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</row>
    <row r="1680" spans="1:37" ht="15.75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</row>
    <row r="1681" spans="1:37" ht="15.75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</row>
    <row r="1682" spans="1:37" ht="15.75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</row>
    <row r="1683" spans="1:37" ht="15.75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</row>
    <row r="1684" spans="1:37" ht="15.75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</row>
    <row r="1685" spans="1:37" ht="15.75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</row>
    <row r="1686" spans="1:37" ht="15.75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</row>
    <row r="1687" spans="1:37" ht="15.75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</row>
    <row r="1688" spans="1:37" ht="15.75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</row>
    <row r="1689" spans="1:37" ht="15.75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</row>
    <row r="1690" spans="1:37" ht="15.75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</row>
    <row r="1691" spans="1:37" ht="15.75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</row>
    <row r="1692" spans="1:37" ht="15.75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</row>
    <row r="1693" spans="1:37" ht="15.75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</row>
    <row r="1694" spans="1:37" ht="15.75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</row>
    <row r="1695" spans="1:37" ht="15.75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</row>
    <row r="1696" spans="1:37" ht="15.75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</row>
    <row r="1697" spans="1:37" ht="15.75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</row>
    <row r="1698" spans="1:37" ht="15.75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</row>
    <row r="1699" spans="1:37" ht="15.75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</row>
    <row r="1700" spans="1:37" ht="15.75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</row>
    <row r="1701" spans="1:37" ht="15.75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</row>
    <row r="1702" spans="1:37" ht="15.75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</row>
    <row r="1703" spans="1:37" ht="15.75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</row>
    <row r="1704" spans="1:37" ht="15.75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</row>
    <row r="1705" spans="1:37" ht="15.75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</row>
    <row r="1706" spans="1:37" ht="15.75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</row>
    <row r="1707" spans="1:37" ht="15.75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</row>
    <row r="1708" spans="1:37" ht="15.75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</row>
    <row r="1709" spans="1:37" ht="15.75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</row>
    <row r="1710" spans="1:37" ht="15.75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</row>
    <row r="1711" spans="1:37" ht="15.75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</row>
    <row r="1712" spans="1:37" ht="15.75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</row>
    <row r="1713" spans="1:37" ht="15.75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</row>
    <row r="1714" spans="1:37" ht="15.75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</row>
    <row r="1715" spans="1:37" ht="15.75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</row>
    <row r="1716" spans="1:37" ht="15.75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</row>
    <row r="1717" spans="1:37" ht="15.75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</row>
    <row r="1718" spans="1:37" ht="15.75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</row>
    <row r="1719" spans="1:37" ht="15.75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</row>
    <row r="1720" spans="1:37" ht="15.75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</row>
    <row r="1721" spans="1:37" ht="15.75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</row>
    <row r="1722" spans="1:37" ht="15.75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</row>
    <row r="1723" spans="1:37" ht="15.75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</row>
    <row r="1724" spans="1:37" ht="15.75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</row>
    <row r="1725" spans="1:37" ht="15.75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</row>
    <row r="1726" spans="1:37" ht="15.75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</row>
    <row r="1727" spans="1:37" ht="15.75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</row>
    <row r="1728" spans="1:37" ht="15.75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</row>
    <row r="1729" spans="1:37" ht="15.75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</row>
    <row r="1730" spans="1:37" ht="15.75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</row>
    <row r="1731" spans="1:37" ht="15.75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</row>
    <row r="1732" spans="1:37" ht="15.75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</row>
    <row r="1733" spans="1:37" ht="15.75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</row>
    <row r="1734" spans="1:37" ht="15.75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</row>
    <row r="1735" spans="1:37" ht="15.75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</row>
    <row r="1736" spans="1:37" ht="15.75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</row>
    <row r="1737" spans="1:37" ht="15.75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</row>
    <row r="1738" spans="1:37" ht="15.75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</row>
    <row r="1739" spans="1:37" ht="15.75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</row>
    <row r="1740" spans="1:37" ht="15.75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</row>
    <row r="1741" spans="1:37" ht="15.75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</row>
    <row r="1742" spans="1:37" ht="15.75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</row>
    <row r="1743" spans="1:37" ht="15.75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</row>
    <row r="1744" spans="1:37" ht="15.75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</row>
    <row r="1745" spans="1:37" ht="15.75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</row>
    <row r="1746" spans="1:37" ht="15.75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</row>
    <row r="1747" spans="1:37" ht="15.75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</row>
    <row r="1748" spans="1:37" ht="15.75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</row>
    <row r="1749" spans="1:37" ht="15.75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</row>
    <row r="1750" spans="1:37" ht="15.75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</row>
    <row r="1751" spans="1:37" ht="15.75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</row>
    <row r="1752" spans="1:37" ht="15.75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</row>
    <row r="1753" spans="1:37" ht="15.75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</row>
    <row r="1754" spans="1:37" ht="15.75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</row>
    <row r="1755" spans="1:37" ht="15.75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</row>
    <row r="1756" spans="1:37" ht="15.75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</row>
    <row r="1757" spans="1:37" ht="15.75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</row>
    <row r="1758" spans="1:37" ht="15.75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</row>
    <row r="1759" spans="1:37" ht="15.75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</row>
    <row r="1760" spans="1:37" ht="15.75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</row>
    <row r="1761" spans="1:37" ht="15.75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</row>
    <row r="1762" spans="1:37" ht="15.75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</row>
    <row r="1763" spans="1:37" ht="15.75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</row>
    <row r="1764" spans="1:37" ht="15.75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</row>
    <row r="1765" spans="1:37" ht="15.75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</row>
    <row r="1766" spans="1:37" ht="15.75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</row>
    <row r="1767" spans="1:37" ht="15.75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</row>
    <row r="1768" spans="1:37" ht="15.75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</row>
    <row r="1769" spans="1:37" ht="15.75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</row>
    <row r="1770" spans="1:37" ht="15.75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</row>
    <row r="1771" spans="1:37" ht="15.75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</row>
    <row r="1772" spans="1:37" ht="15.75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</row>
    <row r="1773" spans="1:37" ht="15.75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</row>
    <row r="1774" spans="1:37" ht="15.75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</row>
    <row r="1775" spans="1:37" ht="15.75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</row>
    <row r="1776" spans="1:37" ht="15.75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</row>
    <row r="1777" spans="1:37" ht="15.75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</row>
    <row r="1778" spans="1:37" ht="15.75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</row>
    <row r="1779" spans="1:37" ht="15.75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</row>
    <row r="1780" spans="1:37" ht="15.75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</row>
    <row r="1781" spans="1:37" ht="15.75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</row>
    <row r="1782" spans="1:37" ht="15.75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</row>
    <row r="1783" spans="1:37" ht="15.75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</row>
    <row r="1784" spans="1:37" ht="15.75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</row>
    <row r="1785" spans="1:37" ht="15.75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</row>
    <row r="1786" spans="1:37" ht="15.75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</row>
    <row r="1787" spans="1:37" ht="15.75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</row>
    <row r="1788" spans="1:37" ht="15.75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</row>
    <row r="1789" spans="1:37" ht="15.75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</row>
    <row r="1790" spans="1:37" ht="15.75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</row>
    <row r="1791" spans="1:37" ht="15.75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</row>
    <row r="1792" spans="1:37" ht="15.75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</row>
    <row r="1793" spans="1:37" ht="15.75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</row>
    <row r="1794" spans="1:37" ht="15.75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</row>
    <row r="1795" spans="1:37" ht="15.75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</row>
    <row r="1796" spans="1:37" ht="15.75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</row>
    <row r="1797" spans="1:37" ht="15.75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</row>
    <row r="1798" spans="1:37" ht="15.75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</row>
    <row r="1799" spans="1:37" ht="15.75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</row>
    <row r="1800" spans="1:37" ht="15.75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</row>
    <row r="1801" spans="1:37" ht="15.75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</row>
    <row r="1802" spans="1:37" ht="15.75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</row>
    <row r="1803" spans="1:37" ht="15.75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</row>
    <row r="1804" spans="1:37" ht="15.75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</row>
    <row r="1805" spans="1:37" ht="15.75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</row>
    <row r="1806" spans="1:37" ht="15.75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</row>
    <row r="1807" spans="1:37" ht="15.75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</row>
    <row r="1808" spans="1:37" ht="15.75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</row>
    <row r="1809" spans="1:37" ht="15.75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</row>
    <row r="1810" spans="1:37" ht="15.75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</row>
    <row r="1811" spans="1:37" ht="15.75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</row>
    <row r="1812" spans="1:37" ht="15.75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</row>
    <row r="1813" spans="1:37" ht="15.75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</row>
    <row r="1814" spans="1:37" ht="15.75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</row>
    <row r="1815" spans="1:37" ht="15.75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</row>
    <row r="1816" spans="1:37" ht="15.75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</row>
    <row r="1817" spans="1:37" ht="15.75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</row>
    <row r="1818" spans="1:37" ht="15.75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</row>
    <row r="1819" spans="1:37" ht="15.75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</row>
    <row r="1820" spans="1:37" ht="15.75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</row>
    <row r="1821" spans="1:37" ht="15.75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</row>
    <row r="1822" spans="1:37" ht="15.75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</row>
    <row r="1823" spans="1:37" ht="15.75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</row>
    <row r="1824" spans="1:37" ht="15.75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</row>
    <row r="1825" spans="1:37" ht="15.75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</row>
    <row r="1826" spans="1:37" ht="15.75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</row>
    <row r="1827" spans="1:37" ht="15.75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</row>
    <row r="1828" spans="1:37" ht="15.75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</row>
    <row r="1829" spans="1:37" ht="15.75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</row>
    <row r="1830" spans="1:37" ht="15.75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</row>
    <row r="1831" spans="1:37" ht="15.75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</row>
    <row r="1832" spans="1:37" ht="15.75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</row>
    <row r="1833" spans="1:37" ht="15.75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</row>
    <row r="1834" spans="1:37" ht="15.75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</row>
    <row r="1835" spans="1:37" ht="15.75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</row>
    <row r="1836" spans="1:37" ht="15.75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</row>
    <row r="1837" spans="1:37" ht="15.75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</row>
    <row r="1838" spans="1:37" ht="15.75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</row>
    <row r="1839" spans="1:37" ht="15.75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</row>
    <row r="1840" spans="1:37" ht="15.75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</row>
    <row r="1841" spans="1:37" ht="15.75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</row>
    <row r="1842" spans="1:37" ht="15.75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</row>
    <row r="1843" spans="1:37" ht="15.75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</row>
    <row r="1844" spans="1:37" ht="15.75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</row>
    <row r="1845" spans="1:37" ht="15.75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</row>
    <row r="1846" spans="1:37" ht="15.75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</row>
    <row r="1847" spans="1:37" ht="15.75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</row>
    <row r="1848" spans="1:37" ht="15.75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</row>
    <row r="1849" spans="1:37" ht="15.75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</row>
    <row r="1850" spans="1:37" ht="15.75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</row>
    <row r="1851" spans="1:37" ht="15.75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</row>
    <row r="1852" spans="1:37" ht="15.75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</row>
    <row r="1853" spans="1:37" ht="15.75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</row>
    <row r="1854" spans="1:37" ht="15.75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</row>
    <row r="1855" spans="1:37" ht="15.75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</row>
    <row r="1856" spans="1:37" ht="15.75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</row>
    <row r="1857" spans="1:37" ht="15.75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</row>
    <row r="1858" spans="1:37" ht="15.75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</row>
    <row r="1859" spans="1:37" ht="15.75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</row>
    <row r="1860" spans="1:37" ht="15.75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</row>
    <row r="1861" spans="1:37" ht="15.75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</row>
    <row r="1862" spans="1:37" ht="15.75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</row>
    <row r="1863" spans="1:37" ht="15.75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</row>
    <row r="1864" spans="1:37" ht="15.75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</row>
    <row r="1865" spans="1:37" ht="15.75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</row>
    <row r="1866" spans="1:37" ht="15.75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</row>
    <row r="1867" spans="1:37" ht="15.75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</row>
    <row r="1868" spans="1:37" ht="15.75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</row>
    <row r="1869" spans="1:37" ht="15.75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</row>
    <row r="1870" spans="1:37" ht="15.75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</row>
    <row r="1871" spans="1:37" ht="15.75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</row>
    <row r="1872" spans="1:37" ht="15.75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</row>
    <row r="1873" spans="1:37" ht="15.75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</row>
    <row r="1874" spans="1:37" ht="15.75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</row>
    <row r="1875" spans="1:37" ht="15.75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</row>
    <row r="1876" spans="1:37" ht="15.75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</row>
    <row r="1877" spans="1:37" ht="15.75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</row>
    <row r="1878" spans="1:37" ht="15.75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</row>
    <row r="1879" spans="1:37" ht="15.75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</row>
    <row r="1880" spans="1:37" ht="15.75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</row>
    <row r="1881" spans="1:37" ht="15.75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</row>
    <row r="1882" spans="1:37" ht="15.75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</row>
    <row r="1883" spans="1:37" ht="15.75" x14ac:dyDescent="0.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</row>
    <row r="1884" spans="1:37" ht="15.75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</row>
    <row r="1885" spans="1:37" ht="15.75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</row>
    <row r="1886" spans="1:37" ht="15.75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</row>
    <row r="1887" spans="1:37" ht="15.75" x14ac:dyDescent="0.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</row>
    <row r="1888" spans="1:37" ht="15.75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</row>
    <row r="1889" spans="1:37" ht="15.75" x14ac:dyDescent="0.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</row>
    <row r="1890" spans="1:37" ht="15.75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</row>
    <row r="1891" spans="1:37" ht="15.75" x14ac:dyDescent="0.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</row>
    <row r="1892" spans="1:37" ht="15.75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</row>
    <row r="1893" spans="1:37" ht="15.75" x14ac:dyDescent="0.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</row>
    <row r="1894" spans="1:37" ht="15.75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</row>
    <row r="1895" spans="1:37" ht="15.75" x14ac:dyDescent="0.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</row>
    <row r="1896" spans="1:37" ht="15.75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</row>
    <row r="1897" spans="1:37" ht="15.75" x14ac:dyDescent="0.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</row>
    <row r="1898" spans="1:37" ht="15.75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</row>
    <row r="1899" spans="1:37" ht="15.75" x14ac:dyDescent="0.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</row>
    <row r="1900" spans="1:37" ht="15.75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</row>
    <row r="1901" spans="1:37" ht="15.75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</row>
    <row r="1902" spans="1:37" ht="15.75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</row>
    <row r="1903" spans="1:37" ht="15.75" x14ac:dyDescent="0.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</row>
    <row r="1904" spans="1:37" ht="15.75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</row>
    <row r="1905" spans="1:37" ht="15.75" x14ac:dyDescent="0.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</row>
    <row r="1906" spans="1:37" ht="15.75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</row>
    <row r="1907" spans="1:37" ht="15.75" x14ac:dyDescent="0.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</row>
    <row r="1908" spans="1:37" ht="15.75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</row>
    <row r="1909" spans="1:37" ht="15.75" x14ac:dyDescent="0.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</row>
    <row r="1910" spans="1:37" ht="15.75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</row>
    <row r="1911" spans="1:37" ht="15.75" x14ac:dyDescent="0.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</row>
    <row r="1912" spans="1:37" ht="15.75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</row>
    <row r="1913" spans="1:37" ht="15.75" x14ac:dyDescent="0.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</row>
    <row r="1914" spans="1:37" ht="15.75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</row>
    <row r="1915" spans="1:37" ht="15.75" x14ac:dyDescent="0.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</row>
    <row r="1916" spans="1:37" ht="15.75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</row>
    <row r="1917" spans="1:37" ht="15.75" x14ac:dyDescent="0.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</row>
    <row r="1918" spans="1:37" ht="15.75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</row>
    <row r="1919" spans="1:37" ht="15.75" x14ac:dyDescent="0.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</row>
    <row r="1920" spans="1:37" ht="15.75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</row>
    <row r="1921" spans="1:37" ht="15.75" x14ac:dyDescent="0.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</row>
    <row r="1922" spans="1:37" ht="15.75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</row>
    <row r="1923" spans="1:37" ht="15.75" x14ac:dyDescent="0.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</row>
    <row r="1924" spans="1:37" ht="15.75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</row>
    <row r="1925" spans="1:37" ht="15.75" x14ac:dyDescent="0.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</row>
    <row r="1926" spans="1:37" ht="15.75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</row>
    <row r="1927" spans="1:37" ht="15.75" x14ac:dyDescent="0.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</row>
    <row r="1928" spans="1:37" ht="15.75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</row>
    <row r="1929" spans="1:37" ht="15.75" x14ac:dyDescent="0.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</row>
    <row r="1930" spans="1:37" ht="15.75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</row>
    <row r="1931" spans="1:37" ht="15.75" x14ac:dyDescent="0.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</row>
    <row r="1932" spans="1:37" ht="15.75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</row>
    <row r="1933" spans="1:37" ht="15.75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</row>
    <row r="1934" spans="1:37" ht="15.75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</row>
    <row r="1935" spans="1:37" ht="15.75" x14ac:dyDescent="0.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</row>
    <row r="1936" spans="1:37" ht="15.75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</row>
    <row r="1937" spans="1:37" ht="15.75" x14ac:dyDescent="0.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</row>
    <row r="1938" spans="1:37" ht="15.75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</row>
    <row r="1939" spans="1:37" ht="15.75" x14ac:dyDescent="0.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</row>
    <row r="1940" spans="1:37" ht="15.75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</row>
    <row r="1941" spans="1:37" ht="15.75" x14ac:dyDescent="0.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</row>
    <row r="1942" spans="1:37" ht="15.75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</row>
    <row r="1943" spans="1:37" ht="15.75" x14ac:dyDescent="0.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</row>
    <row r="1944" spans="1:37" ht="15.75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</row>
    <row r="1945" spans="1:37" ht="15.75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</row>
    <row r="1946" spans="1:37" ht="15.75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</row>
    <row r="1947" spans="1:37" ht="15.75" x14ac:dyDescent="0.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</row>
    <row r="1948" spans="1:37" ht="15.75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</row>
    <row r="1949" spans="1:37" ht="15.75" x14ac:dyDescent="0.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</row>
    <row r="1950" spans="1:37" ht="15.75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</row>
    <row r="1951" spans="1:37" ht="15.75" x14ac:dyDescent="0.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</row>
    <row r="1952" spans="1:37" ht="15.75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</row>
    <row r="1953" spans="1:37" ht="15.75" x14ac:dyDescent="0.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</row>
    <row r="1954" spans="1:37" ht="15.75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</row>
    <row r="1955" spans="1:37" ht="15.75" x14ac:dyDescent="0.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</row>
    <row r="1956" spans="1:37" ht="15.75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</row>
    <row r="1957" spans="1:37" ht="15.75" x14ac:dyDescent="0.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</row>
    <row r="1958" spans="1:37" ht="15.75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</row>
    <row r="1959" spans="1:37" ht="15.75" x14ac:dyDescent="0.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</row>
    <row r="1960" spans="1:37" ht="15.75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</row>
    <row r="1961" spans="1:37" ht="15.75" x14ac:dyDescent="0.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</row>
    <row r="1962" spans="1:37" ht="15.75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</row>
    <row r="1963" spans="1:37" ht="15.75" x14ac:dyDescent="0.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</row>
    <row r="1964" spans="1:37" ht="15.75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</row>
    <row r="1965" spans="1:37" ht="15.75" x14ac:dyDescent="0.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</row>
    <row r="1966" spans="1:37" ht="15.75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</row>
    <row r="1967" spans="1:37" ht="15.75" x14ac:dyDescent="0.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</row>
    <row r="1968" spans="1:37" ht="15.75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</row>
    <row r="1969" spans="1:37" ht="15.75" x14ac:dyDescent="0.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</row>
    <row r="1970" spans="1:37" ht="15.75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</row>
    <row r="1971" spans="1:37" ht="15.75" x14ac:dyDescent="0.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</row>
    <row r="1972" spans="1:37" ht="15.75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</row>
    <row r="1973" spans="1:37" ht="15.75" x14ac:dyDescent="0.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</row>
    <row r="1974" spans="1:37" ht="15.75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</row>
    <row r="1975" spans="1:37" ht="15.75" x14ac:dyDescent="0.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</row>
    <row r="1976" spans="1:37" ht="15.75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</row>
    <row r="1977" spans="1:37" ht="15.75" x14ac:dyDescent="0.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</row>
    <row r="1978" spans="1:37" ht="15.75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</row>
    <row r="1979" spans="1:37" ht="15.75" x14ac:dyDescent="0.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</row>
    <row r="1980" spans="1:37" ht="15.75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</row>
    <row r="1981" spans="1:37" ht="15.75" x14ac:dyDescent="0.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</row>
    <row r="1982" spans="1:37" ht="15.75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</row>
    <row r="1983" spans="1:37" ht="15.75" x14ac:dyDescent="0.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</row>
    <row r="1984" spans="1:37" ht="15.75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</row>
    <row r="1985" spans="1:37" ht="15.75" x14ac:dyDescent="0.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</row>
    <row r="1986" spans="1:37" ht="15.75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</row>
    <row r="1987" spans="1:37" ht="15.75" x14ac:dyDescent="0.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</row>
    <row r="1988" spans="1:37" ht="15.75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</row>
    <row r="1989" spans="1:37" ht="15.75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</row>
    <row r="1990" spans="1:37" ht="15.75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</row>
    <row r="1991" spans="1:37" ht="15.75" x14ac:dyDescent="0.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</row>
    <row r="1992" spans="1:37" ht="15.75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</row>
    <row r="1993" spans="1:37" ht="15.75" x14ac:dyDescent="0.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</row>
    <row r="1994" spans="1:37" ht="15.75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</row>
    <row r="1995" spans="1:37" ht="15.75" x14ac:dyDescent="0.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</row>
    <row r="1996" spans="1:37" ht="15.75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</row>
    <row r="1997" spans="1:37" ht="15.75" x14ac:dyDescent="0.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</row>
    <row r="1998" spans="1:37" ht="15.75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</row>
    <row r="1999" spans="1:37" ht="15.75" x14ac:dyDescent="0.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</row>
    <row r="2000" spans="1:37" ht="15.75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</row>
    <row r="2001" spans="1:37" ht="15.75" x14ac:dyDescent="0.25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</row>
    <row r="2002" spans="1:37" ht="15.75" x14ac:dyDescent="0.25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</row>
    <row r="2003" spans="1:37" ht="15.75" x14ac:dyDescent="0.25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</row>
    <row r="2004" spans="1:37" ht="15.75" x14ac:dyDescent="0.25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</row>
    <row r="2005" spans="1:37" ht="15.75" x14ac:dyDescent="0.25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</row>
    <row r="2006" spans="1:37" ht="15.75" x14ac:dyDescent="0.25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</row>
    <row r="2007" spans="1:37" ht="15.75" x14ac:dyDescent="0.25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</row>
    <row r="2008" spans="1:37" ht="15.75" x14ac:dyDescent="0.25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</row>
    <row r="2009" spans="1:37" ht="15.75" x14ac:dyDescent="0.25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</row>
    <row r="2010" spans="1:37" ht="15.75" x14ac:dyDescent="0.25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</row>
    <row r="2011" spans="1:37" ht="15.75" x14ac:dyDescent="0.25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</row>
    <row r="2012" spans="1:37" ht="15.75" x14ac:dyDescent="0.25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</row>
    <row r="2013" spans="1:37" ht="15.75" x14ac:dyDescent="0.25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</row>
    <row r="2014" spans="1:37" ht="15.75" x14ac:dyDescent="0.25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</row>
    <row r="2015" spans="1:37" ht="15.75" x14ac:dyDescent="0.25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</row>
    <row r="2016" spans="1:37" ht="15.75" x14ac:dyDescent="0.25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</row>
    <row r="2017" spans="1:37" ht="15.75" x14ac:dyDescent="0.25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</row>
    <row r="2018" spans="1:37" ht="15.75" x14ac:dyDescent="0.25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</row>
    <row r="2019" spans="1:37" ht="15.75" x14ac:dyDescent="0.25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</row>
    <row r="2020" spans="1:37" ht="15.75" x14ac:dyDescent="0.25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</row>
    <row r="2021" spans="1:37" ht="15.75" x14ac:dyDescent="0.25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</row>
    <row r="2022" spans="1:37" ht="15.75" x14ac:dyDescent="0.25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</row>
    <row r="2023" spans="1:37" ht="15.75" x14ac:dyDescent="0.25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</row>
    <row r="2024" spans="1:37" ht="15.75" x14ac:dyDescent="0.25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</row>
    <row r="2025" spans="1:37" ht="15.75" x14ac:dyDescent="0.25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</row>
    <row r="2026" spans="1:37" ht="15.75" x14ac:dyDescent="0.25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</row>
    <row r="2027" spans="1:37" ht="15.75" x14ac:dyDescent="0.25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</row>
    <row r="2028" spans="1:37" ht="15.75" x14ac:dyDescent="0.25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</row>
    <row r="2029" spans="1:37" ht="15.75" x14ac:dyDescent="0.25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</row>
    <row r="2030" spans="1:37" ht="15.75" x14ac:dyDescent="0.25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</row>
    <row r="2031" spans="1:37" ht="15.75" x14ac:dyDescent="0.25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</row>
    <row r="2032" spans="1:37" ht="15.75" x14ac:dyDescent="0.25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</row>
    <row r="2033" spans="1:37" ht="15.75" x14ac:dyDescent="0.25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</row>
    <row r="2034" spans="1:37" ht="15.75" x14ac:dyDescent="0.25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</row>
    <row r="2035" spans="1:37" ht="15.75" x14ac:dyDescent="0.25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</row>
    <row r="2036" spans="1:37" ht="15.75" x14ac:dyDescent="0.25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</row>
    <row r="2037" spans="1:37" ht="15.75" x14ac:dyDescent="0.25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</row>
    <row r="2038" spans="1:37" ht="15.75" x14ac:dyDescent="0.25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</row>
    <row r="2039" spans="1:37" ht="15.75" x14ac:dyDescent="0.25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</row>
    <row r="2040" spans="1:37" ht="15.75" x14ac:dyDescent="0.25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</row>
    <row r="2041" spans="1:37" ht="15.75" x14ac:dyDescent="0.25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</row>
    <row r="2042" spans="1:37" ht="15.75" x14ac:dyDescent="0.25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</row>
    <row r="2043" spans="1:37" ht="15.75" x14ac:dyDescent="0.25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</row>
    <row r="2044" spans="1:37" ht="15.75" x14ac:dyDescent="0.25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</row>
    <row r="2045" spans="1:37" ht="15.75" x14ac:dyDescent="0.25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</row>
    <row r="2046" spans="1:37" ht="15.75" x14ac:dyDescent="0.25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</row>
    <row r="2047" spans="1:37" ht="15.75" x14ac:dyDescent="0.25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</row>
    <row r="2048" spans="1:37" ht="15.75" x14ac:dyDescent="0.25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</row>
    <row r="2049" spans="1:37" ht="15.75" x14ac:dyDescent="0.25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</row>
    <row r="2050" spans="1:37" ht="15.75" x14ac:dyDescent="0.25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</row>
    <row r="2051" spans="1:37" ht="15.75" x14ac:dyDescent="0.25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</row>
    <row r="2052" spans="1:37" ht="15.75" x14ac:dyDescent="0.25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</row>
    <row r="2053" spans="1:37" ht="15.75" x14ac:dyDescent="0.25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</row>
    <row r="2054" spans="1:37" ht="15.75" x14ac:dyDescent="0.25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</row>
    <row r="2055" spans="1:37" ht="15.75" x14ac:dyDescent="0.25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</row>
    <row r="2056" spans="1:37" ht="15.75" x14ac:dyDescent="0.25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</row>
    <row r="2057" spans="1:37" ht="15.75" x14ac:dyDescent="0.25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</row>
    <row r="2058" spans="1:37" ht="15.75" x14ac:dyDescent="0.25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</row>
    <row r="2059" spans="1:37" ht="15.75" x14ac:dyDescent="0.25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</row>
    <row r="2060" spans="1:37" ht="15.75" x14ac:dyDescent="0.25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</row>
    <row r="2061" spans="1:37" ht="15.75" x14ac:dyDescent="0.25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</row>
    <row r="2062" spans="1:37" ht="15.75" x14ac:dyDescent="0.25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</row>
    <row r="2063" spans="1:37" ht="15.75" x14ac:dyDescent="0.25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</row>
    <row r="2064" spans="1:37" ht="15.75" x14ac:dyDescent="0.25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</row>
    <row r="2065" spans="1:37" ht="15.75" x14ac:dyDescent="0.25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</row>
    <row r="2066" spans="1:37" ht="15.75" x14ac:dyDescent="0.25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</row>
    <row r="2067" spans="1:37" ht="15.75" x14ac:dyDescent="0.25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</row>
    <row r="2068" spans="1:37" ht="15.75" x14ac:dyDescent="0.25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</row>
    <row r="2069" spans="1:37" ht="15.75" x14ac:dyDescent="0.25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</row>
    <row r="2070" spans="1:37" ht="15.75" x14ac:dyDescent="0.25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</row>
    <row r="2071" spans="1:37" ht="15.75" x14ac:dyDescent="0.25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</row>
    <row r="2072" spans="1:37" ht="15.75" x14ac:dyDescent="0.25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</row>
    <row r="2073" spans="1:37" ht="15.75" x14ac:dyDescent="0.25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</row>
    <row r="2074" spans="1:37" ht="15.75" x14ac:dyDescent="0.25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</row>
    <row r="2075" spans="1:37" ht="15.75" x14ac:dyDescent="0.25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</row>
    <row r="2076" spans="1:37" ht="15.75" x14ac:dyDescent="0.25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</row>
    <row r="2077" spans="1:37" ht="15.75" x14ac:dyDescent="0.25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</row>
    <row r="2078" spans="1:37" ht="15.75" x14ac:dyDescent="0.25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</row>
    <row r="2079" spans="1:37" ht="15.75" x14ac:dyDescent="0.25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</row>
    <row r="2080" spans="1:37" ht="15.75" x14ac:dyDescent="0.25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</row>
    <row r="2081" spans="1:37" ht="15.75" x14ac:dyDescent="0.25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</row>
    <row r="2082" spans="1:37" ht="15.75" x14ac:dyDescent="0.25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</row>
    <row r="2083" spans="1:37" ht="15.75" x14ac:dyDescent="0.25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</row>
    <row r="2084" spans="1:37" ht="15.75" x14ac:dyDescent="0.25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</row>
    <row r="2085" spans="1:37" ht="15.75" x14ac:dyDescent="0.25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</row>
    <row r="2086" spans="1:37" ht="15.75" x14ac:dyDescent="0.25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</row>
    <row r="2087" spans="1:37" ht="15.75" x14ac:dyDescent="0.25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</row>
    <row r="2088" spans="1:37" ht="15.75" x14ac:dyDescent="0.25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</row>
    <row r="2089" spans="1:37" ht="15.75" x14ac:dyDescent="0.25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</row>
    <row r="2090" spans="1:37" ht="15.75" x14ac:dyDescent="0.25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</row>
    <row r="2091" spans="1:37" ht="15.75" x14ac:dyDescent="0.25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</row>
    <row r="2092" spans="1:37" ht="15.75" x14ac:dyDescent="0.25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</row>
    <row r="2093" spans="1:37" ht="15.75" x14ac:dyDescent="0.25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</row>
    <row r="2094" spans="1:37" ht="15.75" x14ac:dyDescent="0.25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</row>
    <row r="2095" spans="1:37" ht="15.75" x14ac:dyDescent="0.25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</row>
    <row r="2096" spans="1:37" ht="15.75" x14ac:dyDescent="0.25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</row>
    <row r="2097" spans="1:37" ht="15.75" x14ac:dyDescent="0.25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</row>
    <row r="2098" spans="1:37" ht="15.75" x14ac:dyDescent="0.25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</row>
    <row r="2099" spans="1:37" ht="15.75" x14ac:dyDescent="0.25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</row>
    <row r="2100" spans="1:37" ht="15.75" x14ac:dyDescent="0.25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</row>
    <row r="2101" spans="1:37" ht="15.75" x14ac:dyDescent="0.25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</row>
    <row r="2102" spans="1:37" ht="15.75" x14ac:dyDescent="0.25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</row>
    <row r="2103" spans="1:37" ht="15.75" x14ac:dyDescent="0.25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</row>
    <row r="2104" spans="1:37" ht="15.75" x14ac:dyDescent="0.25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</row>
    <row r="2105" spans="1:37" ht="15.75" x14ac:dyDescent="0.25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</row>
    <row r="2106" spans="1:37" ht="15.75" x14ac:dyDescent="0.25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</row>
    <row r="2107" spans="1:37" ht="15.75" x14ac:dyDescent="0.25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</row>
    <row r="2108" spans="1:37" ht="15.75" x14ac:dyDescent="0.25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</row>
    <row r="2109" spans="1:37" ht="15.75" x14ac:dyDescent="0.25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</row>
    <row r="2110" spans="1:37" ht="15.75" x14ac:dyDescent="0.25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</row>
    <row r="2111" spans="1:37" ht="15.75" x14ac:dyDescent="0.25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</row>
    <row r="2112" spans="1:37" ht="15.75" x14ac:dyDescent="0.25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</row>
    <row r="2113" spans="1:37" ht="15.75" x14ac:dyDescent="0.25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</row>
    <row r="2114" spans="1:37" ht="15.75" x14ac:dyDescent="0.25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</row>
    <row r="2115" spans="1:37" ht="15.75" x14ac:dyDescent="0.25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</row>
    <row r="2116" spans="1:37" ht="15.75" x14ac:dyDescent="0.25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</row>
    <row r="2117" spans="1:37" ht="15.75" x14ac:dyDescent="0.25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</row>
    <row r="2118" spans="1:37" ht="15.75" x14ac:dyDescent="0.25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</row>
    <row r="2119" spans="1:37" ht="15.75" x14ac:dyDescent="0.25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</row>
    <row r="2120" spans="1:37" ht="15.75" x14ac:dyDescent="0.25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</row>
    <row r="2121" spans="1:37" ht="15.75" x14ac:dyDescent="0.25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</row>
    <row r="2122" spans="1:37" ht="15.75" x14ac:dyDescent="0.25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</row>
    <row r="2123" spans="1:37" ht="15.75" x14ac:dyDescent="0.25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</row>
    <row r="2124" spans="1:37" ht="15.75" x14ac:dyDescent="0.25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</row>
    <row r="2125" spans="1:37" ht="15.75" x14ac:dyDescent="0.25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</row>
    <row r="2126" spans="1:37" ht="15.75" x14ac:dyDescent="0.25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</row>
    <row r="2127" spans="1:37" ht="15.75" x14ac:dyDescent="0.25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</row>
    <row r="2128" spans="1:37" ht="15.75" x14ac:dyDescent="0.25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</row>
    <row r="2129" spans="1:37" ht="15.75" x14ac:dyDescent="0.25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</row>
    <row r="2130" spans="1:37" ht="15.75" x14ac:dyDescent="0.25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</row>
    <row r="2131" spans="1:37" ht="15.75" x14ac:dyDescent="0.25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</row>
    <row r="2132" spans="1:37" ht="15.75" x14ac:dyDescent="0.25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</row>
    <row r="2133" spans="1:37" ht="15.75" x14ac:dyDescent="0.25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</row>
    <row r="2134" spans="1:37" ht="15.75" x14ac:dyDescent="0.25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</row>
    <row r="2135" spans="1:37" ht="15.75" x14ac:dyDescent="0.25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</row>
    <row r="2136" spans="1:37" ht="15.75" x14ac:dyDescent="0.25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</row>
    <row r="2137" spans="1:37" ht="15.75" x14ac:dyDescent="0.25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</row>
    <row r="2138" spans="1:37" ht="15.75" x14ac:dyDescent="0.25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</row>
    <row r="2139" spans="1:37" ht="15.75" x14ac:dyDescent="0.25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</row>
    <row r="2140" spans="1:37" ht="15.75" x14ac:dyDescent="0.25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</row>
    <row r="2141" spans="1:37" ht="15.75" x14ac:dyDescent="0.25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</row>
    <row r="2142" spans="1:37" ht="15.75" x14ac:dyDescent="0.25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</row>
    <row r="2143" spans="1:37" ht="15.75" x14ac:dyDescent="0.25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</row>
    <row r="2144" spans="1:37" ht="15.75" x14ac:dyDescent="0.25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</row>
    <row r="2145" spans="1:37" ht="15.75" x14ac:dyDescent="0.25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</row>
    <row r="2146" spans="1:37" ht="15.75" x14ac:dyDescent="0.25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</row>
    <row r="2147" spans="1:37" ht="15.75" x14ac:dyDescent="0.25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</row>
    <row r="2148" spans="1:37" ht="15.75" x14ac:dyDescent="0.25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</row>
    <row r="2149" spans="1:37" ht="15.75" x14ac:dyDescent="0.25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</row>
    <row r="2150" spans="1:37" ht="15.75" x14ac:dyDescent="0.25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</row>
    <row r="2151" spans="1:37" ht="15.75" x14ac:dyDescent="0.25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</row>
    <row r="2152" spans="1:37" ht="15.75" x14ac:dyDescent="0.25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</row>
    <row r="2153" spans="1:37" ht="15.75" x14ac:dyDescent="0.25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</row>
    <row r="2154" spans="1:37" ht="15.75" x14ac:dyDescent="0.25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</row>
    <row r="2155" spans="1:37" ht="15.75" x14ac:dyDescent="0.25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</row>
    <row r="2156" spans="1:37" ht="15.75" x14ac:dyDescent="0.25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</row>
    <row r="2157" spans="1:37" ht="15.75" x14ac:dyDescent="0.25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</row>
    <row r="2158" spans="1:37" ht="15.75" x14ac:dyDescent="0.25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</row>
    <row r="2159" spans="1:37" ht="15.75" x14ac:dyDescent="0.25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</row>
    <row r="2160" spans="1:37" ht="15.75" x14ac:dyDescent="0.25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</row>
    <row r="2161" spans="1:37" ht="15.75" x14ac:dyDescent="0.25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</row>
    <row r="2162" spans="1:37" ht="15.75" x14ac:dyDescent="0.25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</row>
    <row r="2163" spans="1:37" ht="15.75" x14ac:dyDescent="0.25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</row>
    <row r="2164" spans="1:37" ht="15.75" x14ac:dyDescent="0.25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</row>
    <row r="2165" spans="1:37" ht="15.75" x14ac:dyDescent="0.25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</row>
    <row r="2166" spans="1:37" ht="15.75" x14ac:dyDescent="0.25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</row>
    <row r="2167" spans="1:37" ht="15.75" x14ac:dyDescent="0.25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</row>
    <row r="2168" spans="1:37" ht="15.75" x14ac:dyDescent="0.25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</row>
    <row r="2169" spans="1:37" ht="15.75" x14ac:dyDescent="0.25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</row>
    <row r="2170" spans="1:37" ht="15.75" x14ac:dyDescent="0.25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</row>
    <row r="2171" spans="1:37" ht="15.75" x14ac:dyDescent="0.25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</row>
    <row r="2172" spans="1:37" ht="15.75" x14ac:dyDescent="0.25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</row>
    <row r="2173" spans="1:37" ht="15.75" x14ac:dyDescent="0.25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</row>
    <row r="2174" spans="1:37" ht="15.75" x14ac:dyDescent="0.25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</row>
    <row r="2175" spans="1:37" ht="15.75" x14ac:dyDescent="0.25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</row>
    <row r="2176" spans="1:37" ht="15.75" x14ac:dyDescent="0.25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</row>
    <row r="2177" spans="1:37" ht="15.75" x14ac:dyDescent="0.25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</row>
    <row r="2178" spans="1:37" ht="15.75" x14ac:dyDescent="0.25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</row>
    <row r="2179" spans="1:37" ht="15.75" x14ac:dyDescent="0.25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</row>
    <row r="2180" spans="1:37" ht="15.75" x14ac:dyDescent="0.25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</row>
    <row r="2181" spans="1:37" ht="15.75" x14ac:dyDescent="0.25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</row>
    <row r="2182" spans="1:37" ht="15.75" x14ac:dyDescent="0.25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</row>
    <row r="2183" spans="1:37" ht="15.75" x14ac:dyDescent="0.25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</row>
    <row r="2184" spans="1:37" ht="15.75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</row>
    <row r="2185" spans="1:37" ht="15.75" x14ac:dyDescent="0.2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</row>
    <row r="2186" spans="1:37" ht="15.75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</row>
    <row r="2187" spans="1:37" ht="15.75" x14ac:dyDescent="0.25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</row>
    <row r="2188" spans="1:37" ht="15.75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</row>
    <row r="2189" spans="1:37" ht="15.75" x14ac:dyDescent="0.25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</row>
    <row r="2190" spans="1:37" ht="15.75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</row>
    <row r="2191" spans="1:37" ht="15.75" x14ac:dyDescent="0.25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</row>
    <row r="2192" spans="1:37" ht="15.75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</row>
    <row r="2193" spans="1:37" ht="15.75" x14ac:dyDescent="0.25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</row>
    <row r="2194" spans="1:37" ht="15.75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</row>
    <row r="2195" spans="1:37" ht="15.75" x14ac:dyDescent="0.2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</row>
    <row r="2196" spans="1:37" ht="15.75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</row>
    <row r="2197" spans="1:37" ht="15.75" x14ac:dyDescent="0.25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</row>
    <row r="2198" spans="1:37" ht="15.75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</row>
    <row r="2199" spans="1:37" ht="15.75" x14ac:dyDescent="0.25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</row>
    <row r="2200" spans="1:37" ht="15.75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</row>
    <row r="2201" spans="1:37" ht="15.75" x14ac:dyDescent="0.25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</row>
    <row r="2202" spans="1:37" ht="15.75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</row>
    <row r="2203" spans="1:37" ht="15.75" x14ac:dyDescent="0.25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</row>
    <row r="2204" spans="1:37" ht="15.75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</row>
    <row r="2205" spans="1:37" ht="15.75" x14ac:dyDescent="0.2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</row>
    <row r="2206" spans="1:37" ht="15.75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</row>
    <row r="2207" spans="1:37" ht="15.75" x14ac:dyDescent="0.25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</row>
    <row r="2208" spans="1:37" ht="15.75" x14ac:dyDescent="0.25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</row>
    <row r="2209" spans="1:37" ht="15.75" x14ac:dyDescent="0.25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</row>
    <row r="2210" spans="1:37" ht="15.75" x14ac:dyDescent="0.25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</row>
    <row r="2211" spans="1:37" ht="15.75" x14ac:dyDescent="0.25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</row>
    <row r="2212" spans="1:37" ht="15.75" x14ac:dyDescent="0.25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</row>
    <row r="2213" spans="1:37" ht="15.75" x14ac:dyDescent="0.25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</row>
    <row r="2214" spans="1:37" ht="15.75" x14ac:dyDescent="0.25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</row>
    <row r="2215" spans="1:37" ht="15.75" x14ac:dyDescent="0.25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</row>
    <row r="2216" spans="1:37" ht="15.75" x14ac:dyDescent="0.25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</row>
    <row r="2217" spans="1:37" ht="15.75" x14ac:dyDescent="0.25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</row>
    <row r="2218" spans="1:37" ht="15.75" x14ac:dyDescent="0.25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</row>
    <row r="2219" spans="1:37" ht="15.75" x14ac:dyDescent="0.25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</row>
    <row r="2220" spans="1:37" ht="15.75" x14ac:dyDescent="0.25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</row>
    <row r="2221" spans="1:37" ht="15.75" x14ac:dyDescent="0.25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</row>
    <row r="2222" spans="1:37" ht="15.75" x14ac:dyDescent="0.25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</row>
    <row r="2223" spans="1:37" ht="15.75" x14ac:dyDescent="0.25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</row>
    <row r="2224" spans="1:37" ht="15.75" x14ac:dyDescent="0.25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</row>
    <row r="2225" spans="1:37" ht="15.75" x14ac:dyDescent="0.25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</row>
    <row r="2226" spans="1:37" ht="15.75" x14ac:dyDescent="0.25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</row>
    <row r="2227" spans="1:37" ht="15.75" x14ac:dyDescent="0.25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</row>
    <row r="2228" spans="1:37" ht="15.75" x14ac:dyDescent="0.25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</row>
    <row r="2229" spans="1:37" ht="15.75" x14ac:dyDescent="0.25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</row>
    <row r="2230" spans="1:37" ht="15.75" x14ac:dyDescent="0.25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</row>
    <row r="2231" spans="1:37" ht="15.75" x14ac:dyDescent="0.25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</row>
    <row r="2232" spans="1:37" ht="15.75" x14ac:dyDescent="0.25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</row>
    <row r="2233" spans="1:37" ht="15.75" x14ac:dyDescent="0.25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</row>
    <row r="2234" spans="1:37" ht="15.75" x14ac:dyDescent="0.25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</row>
    <row r="2235" spans="1:37" ht="15.75" x14ac:dyDescent="0.25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</row>
    <row r="2236" spans="1:37" ht="15.75" x14ac:dyDescent="0.25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</row>
    <row r="2237" spans="1:37" ht="15.75" x14ac:dyDescent="0.25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</row>
    <row r="2238" spans="1:37" ht="15.75" x14ac:dyDescent="0.25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</row>
    <row r="2239" spans="1:37" ht="15.75" x14ac:dyDescent="0.25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</row>
    <row r="2240" spans="1:37" ht="15.75" x14ac:dyDescent="0.25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</row>
    <row r="2241" spans="1:37" ht="15.75" x14ac:dyDescent="0.25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</row>
    <row r="2242" spans="1:37" ht="15.75" x14ac:dyDescent="0.25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</row>
    <row r="2243" spans="1:37" ht="15.75" x14ac:dyDescent="0.25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</row>
    <row r="2244" spans="1:37" ht="15.75" x14ac:dyDescent="0.25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</row>
    <row r="2245" spans="1:37" ht="15.75" x14ac:dyDescent="0.25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</row>
    <row r="2246" spans="1:37" ht="15.75" x14ac:dyDescent="0.25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</row>
    <row r="2247" spans="1:37" ht="15.75" x14ac:dyDescent="0.25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</row>
    <row r="2248" spans="1:37" ht="15.75" x14ac:dyDescent="0.25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</row>
    <row r="2249" spans="1:37" ht="15.75" x14ac:dyDescent="0.25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</row>
    <row r="2250" spans="1:37" ht="15.75" x14ac:dyDescent="0.25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</row>
    <row r="2251" spans="1:37" ht="15.75" x14ac:dyDescent="0.25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</row>
    <row r="2252" spans="1:37" ht="15.75" x14ac:dyDescent="0.25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</row>
    <row r="2253" spans="1:37" ht="15.75" x14ac:dyDescent="0.25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</row>
    <row r="2254" spans="1:37" ht="15.75" x14ac:dyDescent="0.25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</row>
    <row r="2255" spans="1:37" ht="15.75" x14ac:dyDescent="0.25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</row>
    <row r="2256" spans="1:37" ht="15.75" x14ac:dyDescent="0.25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</row>
    <row r="2257" spans="1:37" ht="15.75" x14ac:dyDescent="0.25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</row>
    <row r="2258" spans="1:37" ht="15.75" x14ac:dyDescent="0.25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</row>
    <row r="2259" spans="1:37" ht="15.75" x14ac:dyDescent="0.25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</row>
    <row r="2260" spans="1:37" ht="15.75" x14ac:dyDescent="0.25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</row>
    <row r="2261" spans="1:37" ht="15.75" x14ac:dyDescent="0.25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</row>
    <row r="2262" spans="1:37" ht="15.75" x14ac:dyDescent="0.25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</row>
    <row r="2263" spans="1:37" ht="15.75" x14ac:dyDescent="0.25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</row>
    <row r="2264" spans="1:37" ht="15.75" x14ac:dyDescent="0.25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</row>
    <row r="2265" spans="1:37" ht="15.75" x14ac:dyDescent="0.25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</row>
    <row r="2266" spans="1:37" ht="15.75" x14ac:dyDescent="0.25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</row>
    <row r="2267" spans="1:37" ht="15.75" x14ac:dyDescent="0.25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</row>
    <row r="2268" spans="1:37" ht="15.75" x14ac:dyDescent="0.25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</row>
    <row r="2269" spans="1:37" ht="15.75" x14ac:dyDescent="0.25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</row>
    <row r="2270" spans="1:37" ht="15.75" x14ac:dyDescent="0.25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</row>
    <row r="2271" spans="1:37" ht="15.75" x14ac:dyDescent="0.25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</row>
    <row r="2272" spans="1:37" ht="15.75" x14ac:dyDescent="0.25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</row>
    <row r="2273" spans="1:37" ht="15.75" x14ac:dyDescent="0.25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</row>
    <row r="2274" spans="1:37" ht="15.75" x14ac:dyDescent="0.25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</row>
    <row r="2275" spans="1:37" ht="15.75" x14ac:dyDescent="0.25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</row>
    <row r="2276" spans="1:37" ht="15.75" x14ac:dyDescent="0.25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</row>
    <row r="2277" spans="1:37" ht="15.75" x14ac:dyDescent="0.25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</row>
    <row r="2278" spans="1:37" ht="15.75" x14ac:dyDescent="0.25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</row>
    <row r="2279" spans="1:37" ht="15.75" x14ac:dyDescent="0.25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</row>
    <row r="2280" spans="1:37" ht="15.75" x14ac:dyDescent="0.25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</row>
    <row r="2281" spans="1:37" ht="15.75" x14ac:dyDescent="0.25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</row>
    <row r="2282" spans="1:37" ht="15.75" x14ac:dyDescent="0.25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</row>
    <row r="2283" spans="1:37" ht="15.75" x14ac:dyDescent="0.25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</row>
    <row r="2284" spans="1:37" ht="15.75" x14ac:dyDescent="0.25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</row>
    <row r="2285" spans="1:37" ht="15.75" x14ac:dyDescent="0.25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</row>
    <row r="2286" spans="1:37" ht="15.75" x14ac:dyDescent="0.25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</row>
    <row r="2287" spans="1:37" ht="15.75" x14ac:dyDescent="0.25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</row>
    <row r="2288" spans="1:37" ht="15.75" x14ac:dyDescent="0.25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</row>
    <row r="2289" spans="1:37" ht="15.75" x14ac:dyDescent="0.25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</row>
    <row r="2290" spans="1:37" ht="15.75" x14ac:dyDescent="0.25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</row>
    <row r="2291" spans="1:37" ht="15.75" x14ac:dyDescent="0.25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</row>
    <row r="2292" spans="1:37" ht="15.75" x14ac:dyDescent="0.25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</row>
    <row r="2293" spans="1:37" ht="15.75" x14ac:dyDescent="0.25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</row>
    <row r="2294" spans="1:37" ht="15.75" x14ac:dyDescent="0.25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</row>
    <row r="2295" spans="1:37" ht="15.75" x14ac:dyDescent="0.25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</row>
    <row r="2296" spans="1:37" ht="15.75" x14ac:dyDescent="0.25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</row>
    <row r="2297" spans="1:37" ht="15.75" x14ac:dyDescent="0.25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</row>
    <row r="2298" spans="1:37" ht="15.75" x14ac:dyDescent="0.25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</row>
    <row r="2299" spans="1:37" ht="15.75" x14ac:dyDescent="0.25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</row>
    <row r="2300" spans="1:37" ht="15.75" x14ac:dyDescent="0.25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</row>
    <row r="2301" spans="1:37" ht="15.75" x14ac:dyDescent="0.25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</row>
    <row r="2302" spans="1:37" ht="15.75" x14ac:dyDescent="0.25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</row>
    <row r="2303" spans="1:37" ht="15.75" x14ac:dyDescent="0.25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</row>
    <row r="2304" spans="1:37" ht="15.75" x14ac:dyDescent="0.25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</row>
    <row r="2305" spans="1:37" ht="15.75" x14ac:dyDescent="0.25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</row>
    <row r="2306" spans="1:37" ht="15.75" x14ac:dyDescent="0.25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</row>
    <row r="2307" spans="1:37" ht="15.75" x14ac:dyDescent="0.25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</row>
    <row r="2308" spans="1:37" ht="15.75" x14ac:dyDescent="0.25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</row>
    <row r="2309" spans="1:37" ht="15.75" x14ac:dyDescent="0.25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</row>
    <row r="2310" spans="1:37" ht="15.75" x14ac:dyDescent="0.25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</row>
    <row r="2311" spans="1:37" ht="15.75" x14ac:dyDescent="0.25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</row>
    <row r="2312" spans="1:37" ht="15.75" x14ac:dyDescent="0.25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</row>
    <row r="2313" spans="1:37" ht="15.75" x14ac:dyDescent="0.25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</row>
    <row r="2314" spans="1:37" ht="15.75" x14ac:dyDescent="0.25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</row>
    <row r="2315" spans="1:37" ht="15.75" x14ac:dyDescent="0.25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</row>
    <row r="2316" spans="1:37" ht="15.75" x14ac:dyDescent="0.25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</row>
    <row r="2317" spans="1:37" ht="15.75" x14ac:dyDescent="0.25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</row>
    <row r="2318" spans="1:37" ht="15.75" x14ac:dyDescent="0.25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</row>
    <row r="2319" spans="1:37" ht="15.75" x14ac:dyDescent="0.25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</row>
    <row r="2320" spans="1:37" ht="15.75" x14ac:dyDescent="0.25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</row>
    <row r="2321" spans="1:37" ht="15.75" x14ac:dyDescent="0.25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</row>
    <row r="2322" spans="1:37" ht="15.75" x14ac:dyDescent="0.25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</row>
    <row r="2323" spans="1:37" ht="15.75" x14ac:dyDescent="0.25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</row>
    <row r="2324" spans="1:37" ht="15.75" x14ac:dyDescent="0.25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</row>
    <row r="2325" spans="1:37" ht="15.75" x14ac:dyDescent="0.25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</row>
    <row r="2326" spans="1:37" ht="15.75" x14ac:dyDescent="0.25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</row>
    <row r="2327" spans="1:37" ht="15.75" x14ac:dyDescent="0.25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</row>
    <row r="2328" spans="1:37" ht="15.75" x14ac:dyDescent="0.25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</row>
    <row r="2329" spans="1:37" ht="15.75" x14ac:dyDescent="0.25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</row>
    <row r="2330" spans="1:37" ht="15.75" x14ac:dyDescent="0.25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</row>
    <row r="2331" spans="1:37" ht="15.75" x14ac:dyDescent="0.25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</row>
    <row r="2332" spans="1:37" ht="15.75" x14ac:dyDescent="0.25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</row>
    <row r="2333" spans="1:37" ht="15.75" x14ac:dyDescent="0.25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</row>
    <row r="2334" spans="1:37" ht="15.75" x14ac:dyDescent="0.25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</row>
    <row r="2335" spans="1:37" ht="15.75" x14ac:dyDescent="0.25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</row>
    <row r="2336" spans="1:37" ht="15.75" x14ac:dyDescent="0.25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</row>
    <row r="2337" spans="1:37" ht="15.75" x14ac:dyDescent="0.25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</row>
    <row r="2338" spans="1:37" ht="15.75" x14ac:dyDescent="0.25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</row>
    <row r="2339" spans="1:37" ht="15.75" x14ac:dyDescent="0.25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</row>
    <row r="2340" spans="1:37" ht="15.75" x14ac:dyDescent="0.25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</row>
    <row r="2341" spans="1:37" ht="15.75" x14ac:dyDescent="0.25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</row>
    <row r="2342" spans="1:37" ht="15.75" x14ac:dyDescent="0.25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</row>
    <row r="2343" spans="1:37" ht="15.75" x14ac:dyDescent="0.25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</row>
    <row r="2344" spans="1:37" ht="15.75" x14ac:dyDescent="0.25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</row>
    <row r="2345" spans="1:37" ht="15.75" x14ac:dyDescent="0.2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</row>
    <row r="2346" spans="1:37" ht="15.75" x14ac:dyDescent="0.25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</row>
    <row r="2347" spans="1:37" ht="15.75" x14ac:dyDescent="0.25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</row>
    <row r="2348" spans="1:37" ht="15.75" x14ac:dyDescent="0.25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</row>
    <row r="2349" spans="1:37" ht="15.75" x14ac:dyDescent="0.25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</row>
    <row r="2350" spans="1:37" ht="15.75" x14ac:dyDescent="0.25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</row>
    <row r="2351" spans="1:37" ht="15.75" x14ac:dyDescent="0.25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</row>
    <row r="2352" spans="1:37" ht="15.75" x14ac:dyDescent="0.25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</row>
    <row r="2353" spans="1:37" ht="15.75" x14ac:dyDescent="0.25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</row>
    <row r="2354" spans="1:37" ht="15.75" x14ac:dyDescent="0.25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</row>
    <row r="2355" spans="1:37" ht="15.75" x14ac:dyDescent="0.25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</row>
    <row r="2356" spans="1:37" ht="15.75" x14ac:dyDescent="0.25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</row>
    <row r="2357" spans="1:37" ht="15.75" x14ac:dyDescent="0.25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</row>
    <row r="2358" spans="1:37" ht="15.75" x14ac:dyDescent="0.25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</row>
    <row r="2359" spans="1:37" ht="15.75" x14ac:dyDescent="0.25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</row>
    <row r="2360" spans="1:37" ht="15.75" x14ac:dyDescent="0.25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</row>
    <row r="2361" spans="1:37" ht="15.75" x14ac:dyDescent="0.25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</row>
    <row r="2362" spans="1:37" ht="15.75" x14ac:dyDescent="0.25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</row>
    <row r="2363" spans="1:37" ht="15.75" x14ac:dyDescent="0.25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</row>
    <row r="2364" spans="1:37" ht="15.75" x14ac:dyDescent="0.25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</row>
    <row r="2365" spans="1:37" ht="15.75" x14ac:dyDescent="0.25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</row>
    <row r="2366" spans="1:37" ht="15.75" x14ac:dyDescent="0.25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</row>
    <row r="2367" spans="1:37" ht="15.75" x14ac:dyDescent="0.25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</row>
    <row r="2368" spans="1:37" ht="15.75" x14ac:dyDescent="0.25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</row>
    <row r="2369" spans="1:37" ht="15.75" x14ac:dyDescent="0.25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</row>
    <row r="2370" spans="1:37" ht="15.75" x14ac:dyDescent="0.25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</row>
    <row r="2371" spans="1:37" ht="15.75" x14ac:dyDescent="0.25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</row>
    <row r="2372" spans="1:37" ht="15.75" x14ac:dyDescent="0.25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</row>
    <row r="2373" spans="1:37" ht="15.75" x14ac:dyDescent="0.25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</row>
    <row r="2374" spans="1:37" ht="15.75" x14ac:dyDescent="0.25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</row>
    <row r="2375" spans="1:37" ht="15.75" x14ac:dyDescent="0.25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</row>
    <row r="2376" spans="1:37" ht="15.75" x14ac:dyDescent="0.25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</row>
    <row r="2377" spans="1:37" ht="15.75" x14ac:dyDescent="0.25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</row>
    <row r="2378" spans="1:37" ht="15.75" x14ac:dyDescent="0.25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</row>
    <row r="2379" spans="1:37" ht="15.75" x14ac:dyDescent="0.25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</row>
    <row r="2380" spans="1:37" ht="15.75" x14ac:dyDescent="0.25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</row>
    <row r="2381" spans="1:37" ht="15.75" x14ac:dyDescent="0.25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</row>
    <row r="2382" spans="1:37" ht="15.75" x14ac:dyDescent="0.25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</row>
    <row r="2383" spans="1:37" ht="15.75" x14ac:dyDescent="0.25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</row>
    <row r="2384" spans="1:37" ht="15.75" x14ac:dyDescent="0.25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</row>
    <row r="2385" spans="1:37" ht="15.75" x14ac:dyDescent="0.25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</row>
    <row r="2386" spans="1:37" ht="15.75" x14ac:dyDescent="0.25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</row>
    <row r="2387" spans="1:37" ht="15.75" x14ac:dyDescent="0.25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</row>
    <row r="2388" spans="1:37" ht="15.75" x14ac:dyDescent="0.25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</row>
    <row r="2389" spans="1:37" ht="15.75" x14ac:dyDescent="0.25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</row>
    <row r="2390" spans="1:37" ht="15.75" x14ac:dyDescent="0.25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</row>
    <row r="2391" spans="1:37" ht="15.75" x14ac:dyDescent="0.25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</row>
    <row r="2392" spans="1:37" ht="15.75" x14ac:dyDescent="0.25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</row>
    <row r="2393" spans="1:37" ht="15.75" x14ac:dyDescent="0.25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</row>
    <row r="2394" spans="1:37" ht="15.75" x14ac:dyDescent="0.25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</row>
    <row r="2395" spans="1:37" ht="15.75" x14ac:dyDescent="0.25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</row>
    <row r="2396" spans="1:37" ht="15.75" x14ac:dyDescent="0.25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</row>
    <row r="2397" spans="1:37" ht="15.75" x14ac:dyDescent="0.25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</row>
    <row r="2398" spans="1:37" ht="15.75" x14ac:dyDescent="0.25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</row>
    <row r="2399" spans="1:37" ht="15.75" x14ac:dyDescent="0.25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</row>
    <row r="2400" spans="1:37" ht="15.75" x14ac:dyDescent="0.25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</row>
    <row r="2401" spans="1:37" ht="15.75" x14ac:dyDescent="0.25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</row>
    <row r="2402" spans="1:37" ht="15.75" x14ac:dyDescent="0.25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</row>
    <row r="2403" spans="1:37" ht="15.75" x14ac:dyDescent="0.25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</row>
    <row r="2404" spans="1:37" ht="15.75" x14ac:dyDescent="0.25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</row>
    <row r="2405" spans="1:37" ht="15.75" x14ac:dyDescent="0.25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</row>
    <row r="2406" spans="1:37" ht="15.75" x14ac:dyDescent="0.25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</row>
    <row r="2407" spans="1:37" ht="15.75" x14ac:dyDescent="0.25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</row>
    <row r="2408" spans="1:37" ht="15.75" x14ac:dyDescent="0.25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</row>
    <row r="2409" spans="1:37" ht="15.75" x14ac:dyDescent="0.25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</row>
    <row r="2410" spans="1:37" ht="15.75" x14ac:dyDescent="0.25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</row>
    <row r="2411" spans="1:37" ht="15.75" x14ac:dyDescent="0.25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</row>
    <row r="2412" spans="1:37" ht="15.75" x14ac:dyDescent="0.25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</row>
    <row r="2413" spans="1:37" ht="15.75" x14ac:dyDescent="0.25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</row>
    <row r="2414" spans="1:37" ht="15.75" x14ac:dyDescent="0.25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</row>
    <row r="2415" spans="1:37" ht="15.75" x14ac:dyDescent="0.25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</row>
    <row r="2416" spans="1:37" ht="15.75" x14ac:dyDescent="0.25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</row>
    <row r="2417" spans="1:37" ht="15.75" x14ac:dyDescent="0.25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</row>
    <row r="2418" spans="1:37" ht="15.75" x14ac:dyDescent="0.25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</row>
    <row r="2419" spans="1:37" ht="15.75" x14ac:dyDescent="0.25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</row>
    <row r="2420" spans="1:37" ht="15.75" x14ac:dyDescent="0.25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</row>
    <row r="2421" spans="1:37" ht="15.75" x14ac:dyDescent="0.25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</row>
    <row r="2422" spans="1:37" ht="15.75" x14ac:dyDescent="0.25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</row>
    <row r="2423" spans="1:37" ht="15.75" x14ac:dyDescent="0.25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</row>
    <row r="2424" spans="1:37" ht="15.75" x14ac:dyDescent="0.25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</row>
    <row r="2425" spans="1:37" ht="15.75" x14ac:dyDescent="0.25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</row>
    <row r="2426" spans="1:37" ht="15.75" x14ac:dyDescent="0.25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</row>
    <row r="2427" spans="1:37" ht="15.75" x14ac:dyDescent="0.25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</row>
    <row r="2428" spans="1:37" ht="15.75" x14ac:dyDescent="0.25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</row>
    <row r="2429" spans="1:37" ht="15.75" x14ac:dyDescent="0.25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</row>
    <row r="2430" spans="1:37" ht="15.75" x14ac:dyDescent="0.25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</row>
    <row r="2431" spans="1:37" ht="15.75" x14ac:dyDescent="0.25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</row>
    <row r="2432" spans="1:37" ht="15.75" x14ac:dyDescent="0.25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</row>
    <row r="2433" spans="1:37" ht="15.75" x14ac:dyDescent="0.25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</row>
    <row r="2434" spans="1:37" ht="15.75" x14ac:dyDescent="0.25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</row>
    <row r="2435" spans="1:37" ht="15.75" x14ac:dyDescent="0.25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</row>
    <row r="2436" spans="1:37" ht="15.75" x14ac:dyDescent="0.25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</row>
    <row r="2437" spans="1:37" ht="15.75" x14ac:dyDescent="0.25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</row>
    <row r="2438" spans="1:37" ht="15.75" x14ac:dyDescent="0.25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</row>
    <row r="2439" spans="1:37" ht="15.75" x14ac:dyDescent="0.25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</row>
    <row r="2440" spans="1:37" ht="15.75" x14ac:dyDescent="0.25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</row>
    <row r="2441" spans="1:37" ht="15.75" x14ac:dyDescent="0.25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</row>
    <row r="2442" spans="1:37" ht="15.75" x14ac:dyDescent="0.25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</row>
    <row r="2443" spans="1:37" ht="15.75" x14ac:dyDescent="0.25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</row>
    <row r="2444" spans="1:37" ht="15.75" x14ac:dyDescent="0.25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</row>
    <row r="2445" spans="1:37" ht="15.75" x14ac:dyDescent="0.25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</row>
    <row r="2446" spans="1:37" ht="15.75" x14ac:dyDescent="0.25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</row>
    <row r="2447" spans="1:37" ht="15.75" x14ac:dyDescent="0.25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</row>
    <row r="2448" spans="1:37" ht="15.75" x14ac:dyDescent="0.25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</row>
    <row r="2449" spans="1:37" ht="15.75" x14ac:dyDescent="0.25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</row>
    <row r="2450" spans="1:37" ht="15.75" x14ac:dyDescent="0.25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</row>
    <row r="2451" spans="1:37" ht="15.75" x14ac:dyDescent="0.25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</row>
    <row r="2452" spans="1:37" ht="15.75" x14ac:dyDescent="0.25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</row>
    <row r="2453" spans="1:37" ht="15.75" x14ac:dyDescent="0.25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</row>
    <row r="2454" spans="1:37" ht="15.75" x14ac:dyDescent="0.25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</row>
    <row r="2455" spans="1:37" ht="15.75" x14ac:dyDescent="0.25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</row>
    <row r="2456" spans="1:37" ht="15.75" x14ac:dyDescent="0.25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</row>
    <row r="2457" spans="1:37" ht="15.75" x14ac:dyDescent="0.25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</row>
    <row r="2458" spans="1:37" ht="15.75" x14ac:dyDescent="0.25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</row>
    <row r="2459" spans="1:37" ht="15.75" x14ac:dyDescent="0.25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</row>
    <row r="2460" spans="1:37" ht="15.75" x14ac:dyDescent="0.25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</row>
    <row r="2461" spans="1:37" ht="15.75" x14ac:dyDescent="0.25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</row>
    <row r="2462" spans="1:37" ht="15.75" x14ac:dyDescent="0.25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</row>
    <row r="2463" spans="1:37" ht="15.75" x14ac:dyDescent="0.25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</row>
    <row r="2464" spans="1:37" ht="15.75" x14ac:dyDescent="0.25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</row>
    <row r="2465" spans="1:37" ht="15.75" x14ac:dyDescent="0.25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</row>
    <row r="2466" spans="1:37" ht="15.75" x14ac:dyDescent="0.25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</row>
    <row r="2467" spans="1:37" ht="15.75" x14ac:dyDescent="0.25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</row>
    <row r="2468" spans="1:37" ht="15.75" x14ac:dyDescent="0.25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</row>
    <row r="2469" spans="1:37" ht="15.75" x14ac:dyDescent="0.25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</row>
    <row r="2470" spans="1:37" ht="15.75" x14ac:dyDescent="0.25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</row>
    <row r="2471" spans="1:37" ht="15.75" x14ac:dyDescent="0.25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</row>
    <row r="2472" spans="1:37" ht="15.75" x14ac:dyDescent="0.25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</row>
    <row r="2473" spans="1:37" ht="15.75" x14ac:dyDescent="0.25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</row>
    <row r="2474" spans="1:37" ht="15.75" x14ac:dyDescent="0.25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</row>
    <row r="2475" spans="1:37" ht="15.75" x14ac:dyDescent="0.25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</row>
    <row r="2476" spans="1:37" ht="15.75" x14ac:dyDescent="0.25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</row>
    <row r="2477" spans="1:37" ht="15.75" x14ac:dyDescent="0.25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</row>
    <row r="2478" spans="1:37" ht="15.75" x14ac:dyDescent="0.25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</row>
    <row r="2479" spans="1:37" ht="15.75" x14ac:dyDescent="0.25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</row>
    <row r="2480" spans="1:37" ht="15.75" x14ac:dyDescent="0.25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</row>
    <row r="2481" spans="1:37" ht="15.75" x14ac:dyDescent="0.25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</row>
    <row r="2482" spans="1:37" ht="15.75" x14ac:dyDescent="0.25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</row>
    <row r="2483" spans="1:37" ht="15.75" x14ac:dyDescent="0.25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</row>
    <row r="2484" spans="1:37" ht="15.75" x14ac:dyDescent="0.25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</row>
    <row r="2485" spans="1:37" ht="15.75" x14ac:dyDescent="0.25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</row>
    <row r="2486" spans="1:37" ht="15.75" x14ac:dyDescent="0.25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</row>
    <row r="2487" spans="1:37" ht="15.75" x14ac:dyDescent="0.25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</row>
    <row r="2488" spans="1:37" ht="15.75" x14ac:dyDescent="0.25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</row>
    <row r="2489" spans="1:37" ht="15.75" x14ac:dyDescent="0.25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</row>
    <row r="2490" spans="1:37" ht="15.75" x14ac:dyDescent="0.25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</row>
    <row r="2491" spans="1:37" ht="15.75" x14ac:dyDescent="0.25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</row>
    <row r="2492" spans="1:37" ht="15.75" x14ac:dyDescent="0.25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</row>
    <row r="2493" spans="1:37" ht="15.75" x14ac:dyDescent="0.25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</row>
    <row r="2494" spans="1:37" ht="15.75" x14ac:dyDescent="0.25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</row>
    <row r="2495" spans="1:37" ht="15.75" x14ac:dyDescent="0.25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</row>
    <row r="2496" spans="1:37" ht="15.75" x14ac:dyDescent="0.25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</row>
    <row r="2497" spans="1:37" ht="15.75" x14ac:dyDescent="0.25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</row>
    <row r="2498" spans="1:37" ht="15.75" x14ac:dyDescent="0.25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</row>
    <row r="2499" spans="1:37" ht="15.75" x14ac:dyDescent="0.25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</row>
    <row r="2500" spans="1:37" ht="15.75" x14ac:dyDescent="0.25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</row>
    <row r="2501" spans="1:37" ht="15.75" x14ac:dyDescent="0.25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</row>
    <row r="2502" spans="1:37" ht="15.75" x14ac:dyDescent="0.25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</row>
    <row r="2503" spans="1:37" ht="15.75" x14ac:dyDescent="0.25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</row>
    <row r="2504" spans="1:37" ht="15.75" x14ac:dyDescent="0.25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</row>
    <row r="2505" spans="1:37" ht="15.75" x14ac:dyDescent="0.25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</row>
    <row r="2506" spans="1:37" ht="15.75" x14ac:dyDescent="0.25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</row>
    <row r="2507" spans="1:37" ht="15.75" x14ac:dyDescent="0.25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</row>
    <row r="2508" spans="1:37" ht="15.75" x14ac:dyDescent="0.25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</row>
    <row r="2509" spans="1:37" ht="15.75" x14ac:dyDescent="0.25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</row>
    <row r="2510" spans="1:37" ht="15.75" x14ac:dyDescent="0.25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</row>
    <row r="2511" spans="1:37" ht="15.75" x14ac:dyDescent="0.25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</row>
    <row r="2512" spans="1:37" ht="15.75" x14ac:dyDescent="0.25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</row>
    <row r="2513" spans="1:37" ht="15.75" x14ac:dyDescent="0.25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</row>
    <row r="2514" spans="1:37" ht="15.75" x14ac:dyDescent="0.25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</row>
    <row r="2515" spans="1:37" ht="15.75" x14ac:dyDescent="0.25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</row>
    <row r="2516" spans="1:37" ht="15.75" x14ac:dyDescent="0.25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</row>
    <row r="2517" spans="1:37" ht="15.75" x14ac:dyDescent="0.25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</row>
    <row r="2518" spans="1:37" ht="15.75" x14ac:dyDescent="0.25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</row>
    <row r="2519" spans="1:37" ht="15.75" x14ac:dyDescent="0.25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</row>
    <row r="2520" spans="1:37" ht="15.75" x14ac:dyDescent="0.25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</row>
    <row r="2521" spans="1:37" ht="15.75" x14ac:dyDescent="0.25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</row>
    <row r="2522" spans="1:37" ht="15.75" x14ac:dyDescent="0.25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</row>
    <row r="2523" spans="1:37" ht="15.75" x14ac:dyDescent="0.25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</row>
    <row r="2524" spans="1:37" ht="15.75" x14ac:dyDescent="0.25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</row>
    <row r="2525" spans="1:37" ht="15.75" x14ac:dyDescent="0.25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</row>
    <row r="2526" spans="1:37" ht="15.75" x14ac:dyDescent="0.25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</row>
    <row r="2527" spans="1:37" ht="15.75" x14ac:dyDescent="0.25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</row>
    <row r="2528" spans="1:37" ht="15.75" x14ac:dyDescent="0.25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</row>
    <row r="2529" spans="1:37" ht="15.75" x14ac:dyDescent="0.25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</row>
    <row r="2530" spans="1:37" ht="15.75" x14ac:dyDescent="0.25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</row>
    <row r="2531" spans="1:37" ht="15.75" x14ac:dyDescent="0.25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</row>
    <row r="2532" spans="1:37" ht="15.75" x14ac:dyDescent="0.25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</row>
    <row r="2533" spans="1:37" ht="15.75" x14ac:dyDescent="0.25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</row>
    <row r="2534" spans="1:37" ht="15.75" x14ac:dyDescent="0.25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</row>
    <row r="2535" spans="1:37" ht="15.75" x14ac:dyDescent="0.25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</row>
    <row r="2536" spans="1:37" ht="15.75" x14ac:dyDescent="0.25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</row>
    <row r="2537" spans="1:37" ht="15.75" x14ac:dyDescent="0.25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</row>
    <row r="2538" spans="1:37" ht="15.75" x14ac:dyDescent="0.25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</row>
    <row r="2539" spans="1:37" ht="15.75" x14ac:dyDescent="0.25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</row>
    <row r="2540" spans="1:37" ht="15.75" x14ac:dyDescent="0.25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</row>
    <row r="2541" spans="1:37" ht="15.75" x14ac:dyDescent="0.25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</row>
    <row r="2542" spans="1:37" ht="15.75" x14ac:dyDescent="0.25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</row>
    <row r="2543" spans="1:37" ht="15.75" x14ac:dyDescent="0.25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</row>
    <row r="2544" spans="1:37" ht="15.75" x14ac:dyDescent="0.25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</row>
    <row r="2545" spans="1:37" ht="15.75" x14ac:dyDescent="0.25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</row>
    <row r="2546" spans="1:37" ht="15.75" x14ac:dyDescent="0.25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</row>
    <row r="2547" spans="1:37" ht="15.75" x14ac:dyDescent="0.25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</row>
    <row r="2548" spans="1:37" ht="15.75" x14ac:dyDescent="0.25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</row>
    <row r="2549" spans="1:37" ht="15.75" x14ac:dyDescent="0.25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</row>
    <row r="2550" spans="1:37" ht="15.75" x14ac:dyDescent="0.25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</row>
    <row r="2551" spans="1:37" ht="15.75" x14ac:dyDescent="0.25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</row>
    <row r="2552" spans="1:37" ht="15.75" x14ac:dyDescent="0.25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</row>
    <row r="2553" spans="1:37" ht="15.75" x14ac:dyDescent="0.25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</row>
    <row r="2554" spans="1:37" ht="15.75" x14ac:dyDescent="0.25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</row>
    <row r="2555" spans="1:37" ht="15.75" x14ac:dyDescent="0.25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</row>
    <row r="2556" spans="1:37" ht="15.75" x14ac:dyDescent="0.25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</row>
    <row r="2557" spans="1:37" ht="15.75" x14ac:dyDescent="0.25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</row>
    <row r="2558" spans="1:37" ht="15.75" x14ac:dyDescent="0.25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</row>
    <row r="2559" spans="1:37" ht="15.75" x14ac:dyDescent="0.25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</row>
    <row r="2560" spans="1:37" ht="15.75" x14ac:dyDescent="0.25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</row>
    <row r="2561" spans="1:37" ht="15.75" x14ac:dyDescent="0.25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</row>
    <row r="2562" spans="1:37" ht="15.75" x14ac:dyDescent="0.25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</row>
    <row r="2563" spans="1:37" ht="15.75" x14ac:dyDescent="0.25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</row>
    <row r="2564" spans="1:37" ht="15.75" x14ac:dyDescent="0.25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</row>
    <row r="2565" spans="1:37" ht="15.75" x14ac:dyDescent="0.25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</row>
    <row r="2566" spans="1:37" ht="15.75" x14ac:dyDescent="0.25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</row>
    <row r="2567" spans="1:37" ht="15.75" x14ac:dyDescent="0.25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</row>
    <row r="2568" spans="1:37" ht="15.75" x14ac:dyDescent="0.25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</row>
    <row r="2569" spans="1:37" ht="15.75" x14ac:dyDescent="0.25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</row>
    <row r="2570" spans="1:37" ht="15.75" x14ac:dyDescent="0.25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</row>
    <row r="2571" spans="1:37" ht="15.75" x14ac:dyDescent="0.25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</row>
    <row r="2572" spans="1:37" ht="15.75" x14ac:dyDescent="0.25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</row>
    <row r="2573" spans="1:37" ht="15.75" x14ac:dyDescent="0.25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</row>
    <row r="2574" spans="1:37" ht="15.75" x14ac:dyDescent="0.25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</row>
    <row r="2575" spans="1:37" ht="15.75" x14ac:dyDescent="0.25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</row>
    <row r="2576" spans="1:37" ht="15.75" x14ac:dyDescent="0.25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</row>
    <row r="2577" spans="1:37" ht="15.75" x14ac:dyDescent="0.25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</row>
    <row r="2578" spans="1:37" ht="15.75" x14ac:dyDescent="0.25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</row>
    <row r="2579" spans="1:37" ht="15.75" x14ac:dyDescent="0.25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</row>
    <row r="2580" spans="1:37" ht="15.75" x14ac:dyDescent="0.25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</row>
    <row r="2581" spans="1:37" ht="15.75" x14ac:dyDescent="0.25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</row>
    <row r="2582" spans="1:37" ht="15.75" x14ac:dyDescent="0.25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</row>
    <row r="2583" spans="1:37" ht="15.75" x14ac:dyDescent="0.25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</row>
    <row r="2584" spans="1:37" ht="15.75" x14ac:dyDescent="0.25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</row>
    <row r="2585" spans="1:37" ht="15.75" x14ac:dyDescent="0.25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</row>
    <row r="2586" spans="1:37" ht="15.75" x14ac:dyDescent="0.25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</row>
    <row r="2587" spans="1:37" ht="15.75" x14ac:dyDescent="0.25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</row>
    <row r="2588" spans="1:37" ht="15.75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</row>
    <row r="2589" spans="1:37" ht="15.75" x14ac:dyDescent="0.25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</row>
    <row r="2590" spans="1:37" ht="15.75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</row>
    <row r="2591" spans="1:37" ht="15.75" x14ac:dyDescent="0.25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</row>
    <row r="2592" spans="1:37" ht="15.75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</row>
    <row r="2593" spans="1:37" ht="15.75" x14ac:dyDescent="0.25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</row>
    <row r="2594" spans="1:37" ht="15.75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</row>
    <row r="2595" spans="1:37" ht="15.75" x14ac:dyDescent="0.2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</row>
    <row r="2596" spans="1:37" ht="15.75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</row>
    <row r="2597" spans="1:37" ht="15.75" x14ac:dyDescent="0.25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</row>
    <row r="2598" spans="1:37" ht="15.75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</row>
    <row r="2599" spans="1:37" ht="15.75" x14ac:dyDescent="0.25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</row>
    <row r="2600" spans="1:37" ht="15.75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</row>
    <row r="2601" spans="1:37" ht="15.75" x14ac:dyDescent="0.25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</row>
    <row r="2602" spans="1:37" ht="15.75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</row>
    <row r="2603" spans="1:37" ht="15.75" x14ac:dyDescent="0.25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</row>
    <row r="2604" spans="1:37" ht="15.75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</row>
    <row r="2605" spans="1:37" ht="15.75" x14ac:dyDescent="0.2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</row>
    <row r="2606" spans="1:37" ht="15.75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</row>
    <row r="2607" spans="1:37" ht="15.75" x14ac:dyDescent="0.25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</row>
    <row r="2608" spans="1:37" ht="15.75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</row>
    <row r="2609" spans="1:37" ht="15.75" x14ac:dyDescent="0.25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</row>
    <row r="2610" spans="1:37" ht="15.75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</row>
    <row r="2611" spans="1:37" ht="15.75" x14ac:dyDescent="0.25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</row>
    <row r="2612" spans="1:37" ht="15.75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</row>
    <row r="2613" spans="1:37" ht="15.75" x14ac:dyDescent="0.25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</row>
    <row r="2614" spans="1:37" ht="15.75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</row>
    <row r="2615" spans="1:37" ht="15.75" x14ac:dyDescent="0.2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</row>
    <row r="2616" spans="1:37" ht="15.75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</row>
    <row r="2617" spans="1:37" ht="15.75" x14ac:dyDescent="0.25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</row>
    <row r="2618" spans="1:37" ht="15.75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</row>
    <row r="2619" spans="1:37" ht="15.75" x14ac:dyDescent="0.25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</row>
    <row r="2620" spans="1:37" ht="15.75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</row>
    <row r="2621" spans="1:37" ht="15.75" x14ac:dyDescent="0.25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</row>
    <row r="2622" spans="1:37" ht="15.75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</row>
    <row r="2623" spans="1:37" ht="15.75" x14ac:dyDescent="0.25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</row>
    <row r="2624" spans="1:37" ht="15.75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</row>
    <row r="2625" spans="1:37" ht="15.75" x14ac:dyDescent="0.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</row>
    <row r="2626" spans="1:37" ht="15.75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</row>
    <row r="2627" spans="1:37" ht="15.75" x14ac:dyDescent="0.25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</row>
    <row r="2628" spans="1:37" ht="15.75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</row>
    <row r="2629" spans="1:37" ht="15.75" x14ac:dyDescent="0.25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</row>
    <row r="2630" spans="1:37" ht="15.75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</row>
    <row r="2631" spans="1:37" ht="15.75" x14ac:dyDescent="0.25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</row>
    <row r="2632" spans="1:37" ht="15.75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</row>
    <row r="2633" spans="1:37" ht="15.75" x14ac:dyDescent="0.25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</row>
    <row r="2634" spans="1:37" ht="15.75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</row>
    <row r="2635" spans="1:37" ht="15.75" x14ac:dyDescent="0.2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</row>
    <row r="2636" spans="1:37" ht="15.75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</row>
    <row r="2637" spans="1:37" ht="15.75" x14ac:dyDescent="0.25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</row>
    <row r="2638" spans="1:37" ht="15.75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</row>
    <row r="2639" spans="1:37" ht="15.75" x14ac:dyDescent="0.25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</row>
    <row r="2640" spans="1:37" ht="15.75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</row>
    <row r="2641" spans="1:37" ht="15.75" x14ac:dyDescent="0.25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</row>
    <row r="2642" spans="1:37" ht="15.75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</row>
    <row r="2643" spans="1:37" ht="15.75" x14ac:dyDescent="0.25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</row>
    <row r="2644" spans="1:37" ht="15.75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</row>
    <row r="2645" spans="1:37" ht="15.75" x14ac:dyDescent="0.2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</row>
    <row r="2646" spans="1:37" ht="15.75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</row>
    <row r="2647" spans="1:37" ht="15.75" x14ac:dyDescent="0.25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</row>
    <row r="2648" spans="1:37" ht="15.75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</row>
    <row r="2649" spans="1:37" ht="15.75" x14ac:dyDescent="0.25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</row>
    <row r="2650" spans="1:37" ht="15.75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</row>
    <row r="2651" spans="1:37" ht="15.75" x14ac:dyDescent="0.25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</row>
    <row r="2652" spans="1:37" ht="15.75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</row>
    <row r="2653" spans="1:37" ht="15.75" x14ac:dyDescent="0.25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</row>
    <row r="2654" spans="1:37" ht="15.75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</row>
    <row r="2655" spans="1:37" ht="15.75" x14ac:dyDescent="0.2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</row>
    <row r="2656" spans="1:37" ht="15.75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</row>
    <row r="2657" spans="1:37" ht="15.75" x14ac:dyDescent="0.25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</row>
    <row r="2658" spans="1:37" ht="15.75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</row>
    <row r="2659" spans="1:37" ht="15.75" x14ac:dyDescent="0.25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</row>
    <row r="2660" spans="1:37" ht="15.75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</row>
    <row r="2661" spans="1:37" ht="15.75" x14ac:dyDescent="0.25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</row>
    <row r="2662" spans="1:37" ht="15.75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</row>
    <row r="2663" spans="1:37" ht="15.75" x14ac:dyDescent="0.25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</row>
    <row r="2664" spans="1:37" ht="15.75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</row>
    <row r="2665" spans="1:37" ht="15.75" x14ac:dyDescent="0.2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</row>
    <row r="2666" spans="1:37" ht="15.75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</row>
    <row r="2667" spans="1:37" ht="15.75" x14ac:dyDescent="0.25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</row>
    <row r="2668" spans="1:37" ht="15.75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</row>
    <row r="2669" spans="1:37" ht="15.75" x14ac:dyDescent="0.25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</row>
    <row r="2670" spans="1:37" ht="15.75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</row>
    <row r="2671" spans="1:37" ht="15.75" x14ac:dyDescent="0.25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</row>
    <row r="2672" spans="1:37" ht="15.75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</row>
    <row r="2673" spans="1:37" ht="15.75" x14ac:dyDescent="0.25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</row>
    <row r="2674" spans="1:37" ht="15.75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</row>
    <row r="2675" spans="1:37" ht="15.75" x14ac:dyDescent="0.2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</row>
    <row r="2676" spans="1:37" ht="15.75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</row>
    <row r="2677" spans="1:37" ht="15.75" x14ac:dyDescent="0.25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</row>
    <row r="2678" spans="1:37" ht="15.75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</row>
    <row r="2679" spans="1:37" ht="15.75" x14ac:dyDescent="0.25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</row>
    <row r="2680" spans="1:37" ht="15.75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</row>
    <row r="2681" spans="1:37" ht="15.75" x14ac:dyDescent="0.25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</row>
    <row r="2682" spans="1:37" ht="15.75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</row>
    <row r="2683" spans="1:37" ht="15.75" x14ac:dyDescent="0.25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</row>
    <row r="2684" spans="1:37" ht="15.75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</row>
    <row r="2685" spans="1:37" ht="15.75" x14ac:dyDescent="0.2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</row>
    <row r="2686" spans="1:37" ht="15.75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</row>
    <row r="2687" spans="1:37" ht="15.75" x14ac:dyDescent="0.25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</row>
    <row r="2688" spans="1:37" ht="15.75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</row>
    <row r="2689" spans="1:37" ht="15.75" x14ac:dyDescent="0.25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</row>
    <row r="2690" spans="1:37" ht="15.75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</row>
    <row r="2691" spans="1:37" ht="15.75" x14ac:dyDescent="0.25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</row>
    <row r="2692" spans="1:37" ht="15.75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</row>
    <row r="2693" spans="1:37" ht="15.75" x14ac:dyDescent="0.25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</row>
    <row r="2694" spans="1:37" ht="15.75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</row>
    <row r="2695" spans="1:37" ht="15.75" x14ac:dyDescent="0.2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</row>
    <row r="2696" spans="1:37" ht="15.75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</row>
    <row r="2697" spans="1:37" ht="15.75" x14ac:dyDescent="0.25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</row>
    <row r="2698" spans="1:37" ht="15.75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</row>
    <row r="2699" spans="1:37" ht="15.75" x14ac:dyDescent="0.25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</row>
    <row r="2700" spans="1:37" ht="15.75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</row>
    <row r="2701" spans="1:37" ht="15.75" x14ac:dyDescent="0.25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</row>
    <row r="2702" spans="1:37" ht="15.75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</row>
    <row r="2703" spans="1:37" ht="15.75" x14ac:dyDescent="0.25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</row>
    <row r="2704" spans="1:37" ht="15.75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</row>
    <row r="2705" spans="1:37" ht="15.75" x14ac:dyDescent="0.2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</row>
    <row r="2706" spans="1:37" ht="15.75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</row>
    <row r="2707" spans="1:37" ht="15.75" x14ac:dyDescent="0.25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</row>
    <row r="2708" spans="1:37" ht="15.75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</row>
    <row r="2709" spans="1:37" ht="15.75" x14ac:dyDescent="0.25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</row>
    <row r="2710" spans="1:37" ht="15.75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</row>
    <row r="2711" spans="1:37" ht="15.75" x14ac:dyDescent="0.25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</row>
    <row r="2712" spans="1:37" ht="15.75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</row>
    <row r="2713" spans="1:37" ht="15.75" x14ac:dyDescent="0.25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</row>
    <row r="2714" spans="1:37" ht="15.75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</row>
    <row r="2715" spans="1:37" ht="15.75" x14ac:dyDescent="0.2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</row>
    <row r="2716" spans="1:37" ht="15.75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</row>
    <row r="2717" spans="1:37" ht="15.75" x14ac:dyDescent="0.25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</row>
    <row r="2718" spans="1:37" ht="15.75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</row>
    <row r="2719" spans="1:37" ht="15.75" x14ac:dyDescent="0.25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</row>
    <row r="2720" spans="1:37" ht="15.75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</row>
    <row r="2721" spans="1:37" ht="15.75" x14ac:dyDescent="0.25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</row>
    <row r="2722" spans="1:37" ht="15.75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</row>
    <row r="2723" spans="1:37" ht="15.75" x14ac:dyDescent="0.25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</row>
    <row r="2724" spans="1:37" ht="15.75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</row>
    <row r="2725" spans="1:37" ht="15.75" x14ac:dyDescent="0.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</row>
    <row r="2726" spans="1:37" ht="15.75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</row>
    <row r="2727" spans="1:37" ht="15.75" x14ac:dyDescent="0.25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</row>
    <row r="2728" spans="1:37" ht="15.75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</row>
    <row r="2729" spans="1:37" ht="15.75" x14ac:dyDescent="0.25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</row>
    <row r="2730" spans="1:37" ht="15.75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</row>
    <row r="2731" spans="1:37" ht="15.75" x14ac:dyDescent="0.25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</row>
    <row r="2732" spans="1:37" ht="15.75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</row>
    <row r="2733" spans="1:37" ht="15.75" x14ac:dyDescent="0.25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</row>
    <row r="2734" spans="1:37" ht="15.75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</row>
    <row r="2735" spans="1:37" ht="15.75" x14ac:dyDescent="0.2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</row>
    <row r="2736" spans="1:37" ht="15.75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</row>
    <row r="2737" spans="1:37" ht="15.75" x14ac:dyDescent="0.25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</row>
    <row r="2738" spans="1:37" ht="15.75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</row>
    <row r="2739" spans="1:37" ht="15.75" x14ac:dyDescent="0.25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</row>
    <row r="2740" spans="1:37" ht="15.75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</row>
    <row r="2741" spans="1:37" ht="15.75" x14ac:dyDescent="0.25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</row>
    <row r="2742" spans="1:37" ht="15.75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</row>
    <row r="2743" spans="1:37" ht="15.75" x14ac:dyDescent="0.25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</row>
    <row r="2744" spans="1:37" ht="15.75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</row>
    <row r="2745" spans="1:37" ht="15.75" x14ac:dyDescent="0.2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</row>
    <row r="2746" spans="1:37" ht="15.75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</row>
    <row r="2747" spans="1:37" ht="15.75" x14ac:dyDescent="0.25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</row>
    <row r="2748" spans="1:37" ht="15.75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</row>
    <row r="2749" spans="1:37" ht="15.75" x14ac:dyDescent="0.25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</row>
    <row r="2750" spans="1:37" ht="15.75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</row>
    <row r="2751" spans="1:37" ht="15.75" x14ac:dyDescent="0.25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</row>
    <row r="2752" spans="1:37" ht="15.75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</row>
    <row r="2753" spans="1:37" ht="15.75" x14ac:dyDescent="0.25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</row>
    <row r="2754" spans="1:37" ht="15.75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</row>
    <row r="2755" spans="1:37" ht="15.75" x14ac:dyDescent="0.2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</row>
    <row r="2756" spans="1:37" ht="15.75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</row>
    <row r="2757" spans="1:37" ht="15.75" x14ac:dyDescent="0.25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</row>
    <row r="2758" spans="1:37" ht="15.75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</row>
    <row r="2759" spans="1:37" ht="15.75" x14ac:dyDescent="0.25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</row>
    <row r="2760" spans="1:37" ht="15.75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</row>
    <row r="2761" spans="1:37" ht="15.75" x14ac:dyDescent="0.25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</row>
    <row r="2762" spans="1:37" ht="15.75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</row>
    <row r="2763" spans="1:37" ht="15.75" x14ac:dyDescent="0.25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</row>
    <row r="2764" spans="1:37" ht="15.75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</row>
    <row r="2765" spans="1:37" ht="15.75" x14ac:dyDescent="0.2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</row>
    <row r="2766" spans="1:37" ht="15.75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</row>
    <row r="2767" spans="1:37" ht="15.75" x14ac:dyDescent="0.25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</row>
    <row r="2768" spans="1:37" ht="15.75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</row>
    <row r="2769" spans="1:37" ht="15.75" x14ac:dyDescent="0.25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</row>
    <row r="2770" spans="1:37" ht="15.75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</row>
    <row r="2771" spans="1:37" ht="15.75" x14ac:dyDescent="0.25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</row>
    <row r="2772" spans="1:37" ht="15.75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</row>
    <row r="2773" spans="1:37" ht="15.75" x14ac:dyDescent="0.25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</row>
    <row r="2774" spans="1:37" ht="15.75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</row>
    <row r="2775" spans="1:37" ht="15.75" x14ac:dyDescent="0.2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</row>
    <row r="2776" spans="1:37" ht="15.75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</row>
    <row r="2777" spans="1:37" ht="15.75" x14ac:dyDescent="0.25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</row>
    <row r="2778" spans="1:37" ht="15.75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</row>
    <row r="2779" spans="1:37" ht="15.75" x14ac:dyDescent="0.25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</row>
    <row r="2780" spans="1:37" ht="15.75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</row>
    <row r="2781" spans="1:37" ht="15.75" x14ac:dyDescent="0.25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</row>
    <row r="2782" spans="1:37" ht="15.75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</row>
    <row r="2783" spans="1:37" ht="15.75" x14ac:dyDescent="0.25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</row>
    <row r="2784" spans="1:37" ht="15.75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</row>
    <row r="2785" spans="1:37" ht="15.75" x14ac:dyDescent="0.2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</row>
    <row r="2786" spans="1:37" ht="15.75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</row>
    <row r="2787" spans="1:37" ht="15.75" x14ac:dyDescent="0.25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</row>
    <row r="2788" spans="1:37" ht="15.75" x14ac:dyDescent="0.25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</row>
    <row r="2789" spans="1:37" ht="15.75" x14ac:dyDescent="0.25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</row>
    <row r="2790" spans="1:37" ht="15.75" x14ac:dyDescent="0.25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</row>
    <row r="2791" spans="1:37" ht="15.75" x14ac:dyDescent="0.25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</row>
    <row r="2792" spans="1:37" ht="15.75" x14ac:dyDescent="0.25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</row>
    <row r="2793" spans="1:37" ht="15.75" x14ac:dyDescent="0.25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</row>
    <row r="2794" spans="1:37" ht="15.75" x14ac:dyDescent="0.25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</row>
    <row r="2795" spans="1:37" ht="15.75" x14ac:dyDescent="0.2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</row>
    <row r="2796" spans="1:37" ht="15.75" x14ac:dyDescent="0.25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</row>
    <row r="2797" spans="1:37" ht="15.75" x14ac:dyDescent="0.25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</row>
    <row r="2798" spans="1:37" ht="15.75" x14ac:dyDescent="0.25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</row>
    <row r="2799" spans="1:37" ht="15.75" x14ac:dyDescent="0.25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</row>
    <row r="2800" spans="1:37" ht="15.75" x14ac:dyDescent="0.25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</row>
    <row r="2801" spans="1:37" ht="15.75" x14ac:dyDescent="0.25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</row>
    <row r="2802" spans="1:37" ht="15.75" x14ac:dyDescent="0.25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</row>
    <row r="2803" spans="1:37" ht="15.75" x14ac:dyDescent="0.25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</row>
    <row r="2804" spans="1:37" ht="15.75" x14ac:dyDescent="0.25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</row>
    <row r="2805" spans="1:37" ht="15.75" x14ac:dyDescent="0.25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</row>
    <row r="2806" spans="1:37" ht="15.75" x14ac:dyDescent="0.25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</row>
    <row r="2807" spans="1:37" ht="15.75" x14ac:dyDescent="0.25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</row>
    <row r="2808" spans="1:37" ht="15.75" x14ac:dyDescent="0.25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</row>
    <row r="2809" spans="1:37" ht="15.75" x14ac:dyDescent="0.25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</row>
    <row r="2810" spans="1:37" ht="15.75" x14ac:dyDescent="0.25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</row>
    <row r="2811" spans="1:37" ht="15.75" x14ac:dyDescent="0.25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</row>
    <row r="2812" spans="1:37" ht="15.75" x14ac:dyDescent="0.25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</row>
    <row r="2813" spans="1:37" ht="15.75" x14ac:dyDescent="0.25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</row>
    <row r="2814" spans="1:37" ht="15.75" x14ac:dyDescent="0.25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</row>
    <row r="2815" spans="1:37" ht="15.75" x14ac:dyDescent="0.25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</row>
    <row r="2816" spans="1:37" ht="15.75" x14ac:dyDescent="0.25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</row>
    <row r="2817" spans="1:37" ht="15.75" x14ac:dyDescent="0.25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</row>
    <row r="2818" spans="1:37" ht="15.75" x14ac:dyDescent="0.25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</row>
    <row r="2819" spans="1:37" ht="15.75" x14ac:dyDescent="0.25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</row>
    <row r="2820" spans="1:37" ht="15.75" x14ac:dyDescent="0.25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</row>
    <row r="2821" spans="1:37" ht="15.75" x14ac:dyDescent="0.25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</row>
    <row r="2822" spans="1:37" ht="15.75" x14ac:dyDescent="0.25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</row>
    <row r="2823" spans="1:37" ht="15.75" x14ac:dyDescent="0.25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</row>
    <row r="2824" spans="1:37" ht="15.75" x14ac:dyDescent="0.25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</row>
    <row r="2825" spans="1:37" ht="15.75" x14ac:dyDescent="0.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</row>
    <row r="2826" spans="1:37" ht="15.75" x14ac:dyDescent="0.25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</row>
    <row r="2827" spans="1:37" ht="15.75" x14ac:dyDescent="0.25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</row>
    <row r="2828" spans="1:37" ht="15.75" x14ac:dyDescent="0.25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</row>
    <row r="2829" spans="1:37" ht="15.75" x14ac:dyDescent="0.25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</row>
    <row r="2830" spans="1:37" ht="15.75" x14ac:dyDescent="0.25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</row>
    <row r="2831" spans="1:37" ht="15.75" x14ac:dyDescent="0.25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</row>
    <row r="2832" spans="1:37" ht="15.75" x14ac:dyDescent="0.25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</row>
    <row r="2833" spans="1:37" ht="15.75" x14ac:dyDescent="0.25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</row>
    <row r="2834" spans="1:37" ht="15.75" x14ac:dyDescent="0.25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</row>
    <row r="2835" spans="1:37" ht="15.75" x14ac:dyDescent="0.25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</row>
    <row r="2836" spans="1:37" ht="15.75" x14ac:dyDescent="0.25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</row>
    <row r="2837" spans="1:37" ht="15.75" x14ac:dyDescent="0.25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</row>
    <row r="2838" spans="1:37" ht="15.75" x14ac:dyDescent="0.25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</row>
    <row r="2839" spans="1:37" ht="15.75" x14ac:dyDescent="0.25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</row>
    <row r="2840" spans="1:37" ht="15.75" x14ac:dyDescent="0.25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</row>
    <row r="2841" spans="1:37" ht="15.75" x14ac:dyDescent="0.25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</row>
    <row r="2842" spans="1:37" ht="15.75" x14ac:dyDescent="0.25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</row>
    <row r="2843" spans="1:37" ht="15.75" x14ac:dyDescent="0.25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</row>
    <row r="2844" spans="1:37" ht="15.75" x14ac:dyDescent="0.25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</row>
    <row r="2845" spans="1:37" ht="15.75" x14ac:dyDescent="0.25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</row>
    <row r="2846" spans="1:37" ht="15.75" x14ac:dyDescent="0.25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</row>
    <row r="2847" spans="1:37" ht="15.75" x14ac:dyDescent="0.25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</row>
    <row r="2848" spans="1:37" ht="15.75" x14ac:dyDescent="0.25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</row>
    <row r="2849" spans="1:37" ht="15.75" x14ac:dyDescent="0.25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</row>
    <row r="2850" spans="1:37" ht="15.75" x14ac:dyDescent="0.25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</row>
    <row r="2851" spans="1:37" ht="15.75" x14ac:dyDescent="0.25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</row>
    <row r="2852" spans="1:37" ht="15.75" x14ac:dyDescent="0.25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</row>
    <row r="2853" spans="1:37" ht="15.75" x14ac:dyDescent="0.25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</row>
    <row r="2854" spans="1:37" ht="15.75" x14ac:dyDescent="0.25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</row>
    <row r="2855" spans="1:37" ht="15.75" x14ac:dyDescent="0.25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</row>
    <row r="2856" spans="1:37" ht="15.75" x14ac:dyDescent="0.25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</row>
    <row r="2857" spans="1:37" ht="15.75" x14ac:dyDescent="0.25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</row>
    <row r="2858" spans="1:37" ht="15.75" x14ac:dyDescent="0.25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</row>
    <row r="2859" spans="1:37" ht="15.75" x14ac:dyDescent="0.25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</row>
    <row r="2860" spans="1:37" ht="15.75" x14ac:dyDescent="0.25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</row>
    <row r="2861" spans="1:37" ht="15.75" x14ac:dyDescent="0.25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</row>
    <row r="2862" spans="1:37" ht="15.75" x14ac:dyDescent="0.25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</row>
    <row r="2863" spans="1:37" ht="15.75" x14ac:dyDescent="0.25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</row>
    <row r="2864" spans="1:37" ht="15.75" x14ac:dyDescent="0.25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</row>
    <row r="2865" spans="1:37" ht="15.75" x14ac:dyDescent="0.25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</row>
    <row r="2866" spans="1:37" ht="15.75" x14ac:dyDescent="0.25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</row>
    <row r="2867" spans="1:37" ht="15.75" x14ac:dyDescent="0.25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</row>
    <row r="2868" spans="1:37" ht="15.75" x14ac:dyDescent="0.25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</row>
    <row r="2869" spans="1:37" ht="15.75" x14ac:dyDescent="0.25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</row>
    <row r="2870" spans="1:37" ht="15.75" x14ac:dyDescent="0.25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</row>
    <row r="2871" spans="1:37" ht="15.75" x14ac:dyDescent="0.25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</row>
    <row r="2872" spans="1:37" ht="15.75" x14ac:dyDescent="0.25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</row>
    <row r="2873" spans="1:37" ht="15.75" x14ac:dyDescent="0.25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</row>
    <row r="2874" spans="1:37" ht="15.75" x14ac:dyDescent="0.25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</row>
    <row r="2875" spans="1:37" ht="15.75" x14ac:dyDescent="0.25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</row>
    <row r="2876" spans="1:37" ht="15.75" x14ac:dyDescent="0.25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</row>
    <row r="2877" spans="1:37" ht="15.75" x14ac:dyDescent="0.25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</row>
    <row r="2878" spans="1:37" ht="15.75" x14ac:dyDescent="0.25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</row>
    <row r="2879" spans="1:37" ht="15.75" x14ac:dyDescent="0.25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</row>
    <row r="2880" spans="1:37" ht="15.75" x14ac:dyDescent="0.25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</row>
    <row r="2881" spans="1:37" ht="15.75" x14ac:dyDescent="0.25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</row>
    <row r="2882" spans="1:37" ht="15.75" x14ac:dyDescent="0.25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</row>
    <row r="2883" spans="1:37" ht="15.75" x14ac:dyDescent="0.25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</row>
    <row r="2884" spans="1:37" ht="15.75" x14ac:dyDescent="0.25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</row>
    <row r="2885" spans="1:37" ht="15.75" x14ac:dyDescent="0.25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</row>
    <row r="2886" spans="1:37" ht="15.75" x14ac:dyDescent="0.25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</row>
    <row r="2887" spans="1:37" ht="15.75" x14ac:dyDescent="0.25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</row>
    <row r="2888" spans="1:37" ht="15.75" x14ac:dyDescent="0.25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</row>
    <row r="2889" spans="1:37" ht="15.75" x14ac:dyDescent="0.25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</row>
    <row r="2890" spans="1:37" ht="15.75" x14ac:dyDescent="0.25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</row>
    <row r="2891" spans="1:37" ht="15.75" x14ac:dyDescent="0.25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</row>
    <row r="2892" spans="1:37" ht="15.75" x14ac:dyDescent="0.25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</row>
    <row r="2893" spans="1:37" ht="15.75" x14ac:dyDescent="0.25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</row>
    <row r="2894" spans="1:37" ht="15.75" x14ac:dyDescent="0.25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</row>
    <row r="2895" spans="1:37" ht="15.75" x14ac:dyDescent="0.25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</row>
    <row r="2896" spans="1:37" ht="15.75" x14ac:dyDescent="0.25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</row>
    <row r="2897" spans="1:37" ht="15.75" x14ac:dyDescent="0.25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</row>
    <row r="2898" spans="1:37" ht="15.75" x14ac:dyDescent="0.25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</row>
    <row r="2899" spans="1:37" ht="15.75" x14ac:dyDescent="0.25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</row>
    <row r="2900" spans="1:37" ht="15.75" x14ac:dyDescent="0.25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</row>
    <row r="2901" spans="1:37" ht="15.75" x14ac:dyDescent="0.25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</row>
    <row r="2902" spans="1:37" ht="15.75" x14ac:dyDescent="0.25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</row>
    <row r="2903" spans="1:37" ht="15.75" x14ac:dyDescent="0.25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</row>
    <row r="2904" spans="1:37" ht="15.75" x14ac:dyDescent="0.25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</row>
    <row r="2905" spans="1:37" ht="15.75" x14ac:dyDescent="0.25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</row>
    <row r="2906" spans="1:37" ht="15.75" x14ac:dyDescent="0.25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</row>
    <row r="2907" spans="1:37" ht="15.75" x14ac:dyDescent="0.25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</row>
    <row r="2908" spans="1:37" ht="15.75" x14ac:dyDescent="0.25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</row>
    <row r="2909" spans="1:37" ht="15.75" x14ac:dyDescent="0.25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</row>
    <row r="2910" spans="1:37" ht="15.75" x14ac:dyDescent="0.25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</row>
    <row r="2911" spans="1:37" ht="15.75" x14ac:dyDescent="0.25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</row>
    <row r="2912" spans="1:37" ht="15.75" x14ac:dyDescent="0.25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</row>
    <row r="2913" spans="1:37" ht="15.75" x14ac:dyDescent="0.25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</row>
    <row r="2914" spans="1:37" ht="15.75" x14ac:dyDescent="0.25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</row>
    <row r="2915" spans="1:37" ht="15.75" x14ac:dyDescent="0.25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</row>
    <row r="2916" spans="1:37" ht="15.75" x14ac:dyDescent="0.25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</row>
    <row r="2917" spans="1:37" ht="15.75" x14ac:dyDescent="0.25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</row>
    <row r="2918" spans="1:37" ht="15.75" x14ac:dyDescent="0.25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</row>
    <row r="2919" spans="1:37" ht="15.75" x14ac:dyDescent="0.25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</row>
    <row r="2920" spans="1:37" ht="15.75" x14ac:dyDescent="0.25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</row>
    <row r="2921" spans="1:37" ht="15.75" x14ac:dyDescent="0.25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</row>
    <row r="2922" spans="1:37" ht="15.75" x14ac:dyDescent="0.25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</row>
    <row r="2923" spans="1:37" ht="15.75" x14ac:dyDescent="0.25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</row>
    <row r="2924" spans="1:37" ht="15.75" x14ac:dyDescent="0.25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</row>
    <row r="2925" spans="1:37" ht="15.75" x14ac:dyDescent="0.25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</row>
    <row r="2926" spans="1:37" ht="15.75" x14ac:dyDescent="0.25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</row>
    <row r="2927" spans="1:37" ht="15.75" x14ac:dyDescent="0.25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</row>
    <row r="2928" spans="1:37" ht="15.75" x14ac:dyDescent="0.25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</row>
    <row r="2929" spans="1:37" ht="15.75" x14ac:dyDescent="0.25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</row>
    <row r="2930" spans="1:37" ht="15.75" x14ac:dyDescent="0.25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</row>
    <row r="2931" spans="1:37" ht="15.75" x14ac:dyDescent="0.25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</row>
    <row r="2932" spans="1:37" ht="15.75" x14ac:dyDescent="0.25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</row>
    <row r="2933" spans="1:37" ht="15.75" x14ac:dyDescent="0.25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</row>
    <row r="2934" spans="1:37" ht="15.75" x14ac:dyDescent="0.25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</row>
    <row r="2935" spans="1:37" ht="15.75" x14ac:dyDescent="0.25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</row>
    <row r="2936" spans="1:37" ht="15.75" x14ac:dyDescent="0.25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</row>
    <row r="2937" spans="1:37" ht="15.75" x14ac:dyDescent="0.25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</row>
    <row r="2938" spans="1:37" ht="15.75" x14ac:dyDescent="0.25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</row>
    <row r="2939" spans="1:37" ht="15.75" x14ac:dyDescent="0.25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</row>
    <row r="2940" spans="1:37" ht="15.75" x14ac:dyDescent="0.25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</row>
    <row r="2941" spans="1:37" ht="15.75" x14ac:dyDescent="0.25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</row>
    <row r="2942" spans="1:37" ht="15.75" x14ac:dyDescent="0.25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</row>
    <row r="2943" spans="1:37" ht="15.75" x14ac:dyDescent="0.25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</row>
    <row r="2944" spans="1:37" ht="15.75" x14ac:dyDescent="0.25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</row>
    <row r="2945" spans="1:37" ht="15.75" x14ac:dyDescent="0.25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</row>
    <row r="2946" spans="1:37" ht="15.75" x14ac:dyDescent="0.25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</row>
    <row r="2947" spans="1:37" ht="15.75" x14ac:dyDescent="0.25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</row>
    <row r="2948" spans="1:37" ht="15.75" x14ac:dyDescent="0.25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</row>
    <row r="2949" spans="1:37" ht="15.75" x14ac:dyDescent="0.25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</row>
    <row r="2950" spans="1:37" ht="15.75" x14ac:dyDescent="0.25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</row>
    <row r="2951" spans="1:37" ht="15.75" x14ac:dyDescent="0.25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</row>
    <row r="2952" spans="1:37" ht="15.75" x14ac:dyDescent="0.25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</row>
    <row r="2953" spans="1:37" ht="15.75" x14ac:dyDescent="0.25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</row>
    <row r="2954" spans="1:37" ht="15.75" x14ac:dyDescent="0.25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</row>
    <row r="2955" spans="1:37" ht="15.75" x14ac:dyDescent="0.25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</row>
    <row r="2956" spans="1:37" ht="15.75" x14ac:dyDescent="0.25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</row>
    <row r="2957" spans="1:37" ht="15.75" x14ac:dyDescent="0.25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</row>
    <row r="2958" spans="1:37" ht="15.75" x14ac:dyDescent="0.25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</row>
    <row r="2959" spans="1:37" ht="15.75" x14ac:dyDescent="0.25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</row>
    <row r="2960" spans="1:37" ht="15.75" x14ac:dyDescent="0.25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</row>
    <row r="2961" spans="1:37" ht="15.75" x14ac:dyDescent="0.25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</row>
    <row r="2962" spans="1:37" ht="15.75" x14ac:dyDescent="0.25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</row>
    <row r="2963" spans="1:37" ht="15.75" x14ac:dyDescent="0.25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</row>
    <row r="2964" spans="1:37" ht="15.75" x14ac:dyDescent="0.25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</row>
    <row r="2965" spans="1:37" ht="15.75" x14ac:dyDescent="0.25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</row>
    <row r="2966" spans="1:37" ht="15.75" x14ac:dyDescent="0.25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</row>
    <row r="2967" spans="1:37" ht="15.75" x14ac:dyDescent="0.25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</row>
    <row r="2968" spans="1:37" ht="15.75" x14ac:dyDescent="0.25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</row>
    <row r="2969" spans="1:37" ht="15.75" x14ac:dyDescent="0.25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</row>
    <row r="2970" spans="1:37" ht="15.75" x14ac:dyDescent="0.25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</row>
    <row r="2971" spans="1:37" ht="15.75" x14ac:dyDescent="0.25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</row>
    <row r="2972" spans="1:37" ht="15.75" x14ac:dyDescent="0.25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</row>
    <row r="2973" spans="1:37" ht="15.75" x14ac:dyDescent="0.25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</row>
    <row r="2974" spans="1:37" ht="15.75" x14ac:dyDescent="0.25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</row>
    <row r="2975" spans="1:37" ht="15.75" x14ac:dyDescent="0.25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</row>
    <row r="2976" spans="1:37" ht="15.75" x14ac:dyDescent="0.25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</row>
    <row r="2977" spans="1:37" ht="15.75" x14ac:dyDescent="0.25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</row>
    <row r="2978" spans="1:37" ht="15.75" x14ac:dyDescent="0.25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</row>
    <row r="2979" spans="1:37" ht="15.75" x14ac:dyDescent="0.25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</row>
    <row r="2980" spans="1:37" ht="15.75" x14ac:dyDescent="0.25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</row>
    <row r="2981" spans="1:37" ht="15.75" x14ac:dyDescent="0.25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</row>
    <row r="2982" spans="1:37" ht="15.75" x14ac:dyDescent="0.25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</row>
    <row r="2983" spans="1:37" ht="15.75" x14ac:dyDescent="0.25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</row>
    <row r="2984" spans="1:37" ht="15.75" x14ac:dyDescent="0.25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</row>
    <row r="2985" spans="1:37" ht="15.75" x14ac:dyDescent="0.25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</row>
    <row r="2986" spans="1:37" ht="15.75" x14ac:dyDescent="0.25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</row>
    <row r="2987" spans="1:37" ht="15.75" x14ac:dyDescent="0.25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</row>
    <row r="2988" spans="1:37" ht="15.75" x14ac:dyDescent="0.25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</row>
    <row r="2989" spans="1:37" ht="15.75" x14ac:dyDescent="0.25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</row>
    <row r="2990" spans="1:37" ht="15.75" x14ac:dyDescent="0.25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</row>
    <row r="2991" spans="1:37" ht="15.75" x14ac:dyDescent="0.25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</row>
    <row r="2992" spans="1:37" ht="15.75" x14ac:dyDescent="0.25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</row>
    <row r="2993" spans="1:37" ht="15.75" x14ac:dyDescent="0.25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</row>
    <row r="2994" spans="1:37" ht="15.75" x14ac:dyDescent="0.25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</row>
    <row r="2995" spans="1:37" ht="15.75" x14ac:dyDescent="0.25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</row>
    <row r="2996" spans="1:37" ht="15.75" x14ac:dyDescent="0.25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</row>
    <row r="2997" spans="1:37" ht="15.75" x14ac:dyDescent="0.25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</row>
    <row r="2998" spans="1:37" ht="15.75" x14ac:dyDescent="0.25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</row>
    <row r="2999" spans="1:37" ht="15.75" x14ac:dyDescent="0.25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</row>
    <row r="3000" spans="1:37" ht="15.75" x14ac:dyDescent="0.25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</row>
    <row r="3001" spans="1:37" ht="15.75" x14ac:dyDescent="0.25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</row>
    <row r="3002" spans="1:37" ht="15.75" x14ac:dyDescent="0.25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</row>
    <row r="3003" spans="1:37" ht="15.75" x14ac:dyDescent="0.25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</row>
    <row r="3004" spans="1:37" ht="15.75" x14ac:dyDescent="0.25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</row>
    <row r="3005" spans="1:37" ht="15.75" x14ac:dyDescent="0.25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</row>
    <row r="3006" spans="1:37" ht="15.75" x14ac:dyDescent="0.25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</row>
    <row r="3007" spans="1:37" ht="15.75" x14ac:dyDescent="0.25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</row>
    <row r="3008" spans="1:37" ht="15.75" x14ac:dyDescent="0.25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</row>
    <row r="3009" spans="1:37" ht="15.75" x14ac:dyDescent="0.25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</row>
    <row r="3010" spans="1:37" ht="15.75" x14ac:dyDescent="0.25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</row>
    <row r="3011" spans="1:37" ht="15.75" x14ac:dyDescent="0.25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</row>
    <row r="3012" spans="1:37" ht="15.75" x14ac:dyDescent="0.25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</row>
    <row r="3013" spans="1:37" ht="15.75" x14ac:dyDescent="0.25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</row>
    <row r="3014" spans="1:37" ht="15.75" x14ac:dyDescent="0.25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</row>
    <row r="3015" spans="1:37" ht="15.75" x14ac:dyDescent="0.25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</row>
    <row r="3016" spans="1:37" ht="15.75" x14ac:dyDescent="0.25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</row>
    <row r="3017" spans="1:37" ht="15.75" x14ac:dyDescent="0.25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</row>
    <row r="3018" spans="1:37" ht="15.75" x14ac:dyDescent="0.25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</row>
    <row r="3019" spans="1:37" ht="15.75" x14ac:dyDescent="0.25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</row>
    <row r="3020" spans="1:37" ht="15.75" x14ac:dyDescent="0.25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</row>
    <row r="3021" spans="1:37" ht="15.75" x14ac:dyDescent="0.25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</row>
    <row r="3022" spans="1:37" ht="15.75" x14ac:dyDescent="0.25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</row>
    <row r="3023" spans="1:37" ht="15.75" x14ac:dyDescent="0.25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</row>
    <row r="3024" spans="1:37" ht="15.75" x14ac:dyDescent="0.25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</row>
    <row r="3025" spans="1:37" ht="15.75" x14ac:dyDescent="0.25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</row>
    <row r="3026" spans="1:37" ht="15.75" x14ac:dyDescent="0.25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</row>
    <row r="3027" spans="1:37" ht="15.75" x14ac:dyDescent="0.25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</row>
    <row r="3028" spans="1:37" ht="15.75" x14ac:dyDescent="0.25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</row>
    <row r="3029" spans="1:37" ht="15.75" x14ac:dyDescent="0.25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</row>
    <row r="3030" spans="1:37" ht="15.75" x14ac:dyDescent="0.25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</row>
    <row r="3031" spans="1:37" ht="15.75" x14ac:dyDescent="0.25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</row>
    <row r="3032" spans="1:37" ht="15.75" x14ac:dyDescent="0.25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</row>
    <row r="3033" spans="1:37" ht="15.75" x14ac:dyDescent="0.25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</row>
    <row r="3034" spans="1:37" ht="15.75" x14ac:dyDescent="0.25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</row>
    <row r="3035" spans="1:37" ht="15.75" x14ac:dyDescent="0.25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</row>
    <row r="3036" spans="1:37" ht="15.75" x14ac:dyDescent="0.25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</row>
    <row r="3037" spans="1:37" ht="15.75" x14ac:dyDescent="0.25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</row>
    <row r="3038" spans="1:37" ht="15.75" x14ac:dyDescent="0.25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</row>
    <row r="3039" spans="1:37" ht="15.75" x14ac:dyDescent="0.25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</row>
    <row r="3040" spans="1:37" ht="15.75" x14ac:dyDescent="0.25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</row>
    <row r="3041" spans="1:37" ht="15.75" x14ac:dyDescent="0.25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</row>
    <row r="3042" spans="1:37" ht="15.75" x14ac:dyDescent="0.25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</row>
    <row r="3043" spans="1:37" ht="15.75" x14ac:dyDescent="0.25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</row>
    <row r="3044" spans="1:37" ht="15.75" x14ac:dyDescent="0.25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</row>
    <row r="3045" spans="1:37" ht="15.75" x14ac:dyDescent="0.25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</row>
    <row r="3046" spans="1:37" ht="15.75" x14ac:dyDescent="0.25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</row>
    <row r="3047" spans="1:37" ht="15.75" x14ac:dyDescent="0.25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</row>
    <row r="3048" spans="1:37" ht="15.75" x14ac:dyDescent="0.25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</row>
    <row r="3049" spans="1:37" ht="15.75" x14ac:dyDescent="0.25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</row>
    <row r="3050" spans="1:37" ht="15.75" x14ac:dyDescent="0.25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</row>
    <row r="3051" spans="1:37" ht="15.75" x14ac:dyDescent="0.25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</row>
    <row r="3052" spans="1:37" ht="15.75" x14ac:dyDescent="0.25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</row>
    <row r="3053" spans="1:37" ht="15.75" x14ac:dyDescent="0.25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</row>
    <row r="3054" spans="1:37" ht="15.75" x14ac:dyDescent="0.25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</row>
    <row r="3055" spans="1:37" ht="15.75" x14ac:dyDescent="0.25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</row>
    <row r="3056" spans="1:37" ht="15.75" x14ac:dyDescent="0.25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</row>
    <row r="3057" spans="1:37" ht="15.75" x14ac:dyDescent="0.25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</row>
    <row r="3058" spans="1:37" ht="15.75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</row>
    <row r="3059" spans="1:37" ht="15.75" x14ac:dyDescent="0.25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</row>
    <row r="3060" spans="1:37" ht="15.75" x14ac:dyDescent="0.25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</row>
    <row r="3061" spans="1:37" ht="15.75" x14ac:dyDescent="0.25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</row>
    <row r="3062" spans="1:37" ht="15.75" x14ac:dyDescent="0.25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</row>
    <row r="3063" spans="1:37" ht="15.75" x14ac:dyDescent="0.25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</row>
    <row r="3064" spans="1:37" ht="15.75" x14ac:dyDescent="0.25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</row>
    <row r="3065" spans="1:37" ht="15.75" x14ac:dyDescent="0.25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</row>
    <row r="3066" spans="1:37" ht="15.75" x14ac:dyDescent="0.25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</row>
    <row r="3067" spans="1:37" ht="15.75" x14ac:dyDescent="0.25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</row>
    <row r="3068" spans="1:37" ht="15.75" x14ac:dyDescent="0.25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</row>
    <row r="3069" spans="1:37" ht="15.75" x14ac:dyDescent="0.25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</row>
    <row r="3070" spans="1:37" ht="15.75" x14ac:dyDescent="0.25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</row>
    <row r="3071" spans="1:37" ht="15.75" x14ac:dyDescent="0.25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</row>
    <row r="3072" spans="1:37" ht="15.75" x14ac:dyDescent="0.25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</row>
    <row r="3073" spans="1:37" ht="15.75" x14ac:dyDescent="0.25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</row>
    <row r="3074" spans="1:37" ht="15.75" x14ac:dyDescent="0.25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</row>
    <row r="3075" spans="1:37" ht="15.75" x14ac:dyDescent="0.25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</row>
    <row r="3076" spans="1:37" ht="15.75" x14ac:dyDescent="0.25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</row>
    <row r="3077" spans="1:37" ht="15.75" x14ac:dyDescent="0.25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</row>
    <row r="3078" spans="1:37" ht="15.75" x14ac:dyDescent="0.25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</row>
    <row r="3079" spans="1:37" ht="15.75" x14ac:dyDescent="0.25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</row>
    <row r="3080" spans="1:37" ht="15.75" x14ac:dyDescent="0.25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</row>
    <row r="3081" spans="1:37" ht="15.75" x14ac:dyDescent="0.25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</row>
    <row r="3082" spans="1:37" ht="15.75" x14ac:dyDescent="0.25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</row>
    <row r="3083" spans="1:37" ht="15.75" x14ac:dyDescent="0.25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</row>
    <row r="3084" spans="1:37" ht="15.75" x14ac:dyDescent="0.25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</row>
    <row r="3085" spans="1:37" ht="15.75" x14ac:dyDescent="0.25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</row>
    <row r="3086" spans="1:37" ht="15.75" x14ac:dyDescent="0.25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</row>
    <row r="3087" spans="1:37" ht="15.75" x14ac:dyDescent="0.25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</row>
    <row r="3088" spans="1:37" ht="15.75" x14ac:dyDescent="0.25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</row>
    <row r="3089" spans="1:37" ht="15.75" x14ac:dyDescent="0.25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</row>
    <row r="3090" spans="1:37" ht="15.75" x14ac:dyDescent="0.25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</row>
    <row r="3091" spans="1:37" ht="15.75" x14ac:dyDescent="0.25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</row>
    <row r="3092" spans="1:37" ht="15.75" x14ac:dyDescent="0.25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</row>
    <row r="3093" spans="1:37" ht="15.75" x14ac:dyDescent="0.25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</row>
    <row r="3094" spans="1:37" ht="15.75" x14ac:dyDescent="0.25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</row>
    <row r="3095" spans="1:37" ht="15.75" x14ac:dyDescent="0.25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</row>
    <row r="3096" spans="1:37" ht="15.75" x14ac:dyDescent="0.25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</row>
    <row r="3097" spans="1:37" ht="15.75" x14ac:dyDescent="0.25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</row>
    <row r="3098" spans="1:37" ht="15.75" x14ac:dyDescent="0.25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</row>
    <row r="3099" spans="1:37" ht="15.75" x14ac:dyDescent="0.25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</row>
    <row r="3100" spans="1:37" ht="15.75" x14ac:dyDescent="0.25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</row>
    <row r="3101" spans="1:37" ht="15.75" x14ac:dyDescent="0.25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</row>
    <row r="3102" spans="1:37" ht="15.75" x14ac:dyDescent="0.25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</row>
    <row r="3103" spans="1:37" ht="15.75" x14ac:dyDescent="0.25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</row>
    <row r="3104" spans="1:37" ht="15.75" x14ac:dyDescent="0.25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</row>
    <row r="3105" spans="1:37" ht="15.75" x14ac:dyDescent="0.25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</row>
    <row r="3106" spans="1:37" ht="15.75" x14ac:dyDescent="0.25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</row>
    <row r="3107" spans="1:37" ht="15.75" x14ac:dyDescent="0.25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</row>
    <row r="3108" spans="1:37" ht="15.75" x14ac:dyDescent="0.25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</row>
    <row r="3109" spans="1:37" ht="15.75" x14ac:dyDescent="0.25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</row>
    <row r="3110" spans="1:37" ht="15.75" x14ac:dyDescent="0.25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</row>
    <row r="3111" spans="1:37" ht="15.75" x14ac:dyDescent="0.25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</row>
    <row r="3112" spans="1:37" ht="15.75" x14ac:dyDescent="0.25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</row>
    <row r="3113" spans="1:37" ht="15.75" x14ac:dyDescent="0.25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</row>
    <row r="3114" spans="1:37" ht="15.75" x14ac:dyDescent="0.25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</row>
    <row r="3115" spans="1:37" ht="15.75" x14ac:dyDescent="0.25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</row>
    <row r="3116" spans="1:37" ht="15.75" x14ac:dyDescent="0.25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</row>
    <row r="3117" spans="1:37" ht="15.75" x14ac:dyDescent="0.25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</row>
    <row r="3118" spans="1:37" ht="15.75" x14ac:dyDescent="0.25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</row>
    <row r="3119" spans="1:37" ht="15.75" x14ac:dyDescent="0.25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</row>
    <row r="3120" spans="1:37" ht="15.75" x14ac:dyDescent="0.25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</row>
    <row r="3121" spans="1:37" ht="15.75" x14ac:dyDescent="0.25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</row>
    <row r="3122" spans="1:37" ht="15.75" x14ac:dyDescent="0.25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</row>
    <row r="3123" spans="1:37" ht="15.75" x14ac:dyDescent="0.25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</row>
    <row r="3124" spans="1:37" ht="15.75" x14ac:dyDescent="0.25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</row>
    <row r="3125" spans="1:37" ht="15.75" x14ac:dyDescent="0.25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</row>
    <row r="3126" spans="1:37" ht="15.75" x14ac:dyDescent="0.25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</row>
    <row r="3127" spans="1:37" ht="15.75" x14ac:dyDescent="0.25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</row>
    <row r="3128" spans="1:37" ht="15.75" x14ac:dyDescent="0.25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</row>
    <row r="3129" spans="1:37" ht="15.75" x14ac:dyDescent="0.25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</row>
    <row r="3130" spans="1:37" ht="15.75" x14ac:dyDescent="0.25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</row>
    <row r="3131" spans="1:37" ht="15.75" x14ac:dyDescent="0.25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</row>
    <row r="3132" spans="1:37" ht="15.75" x14ac:dyDescent="0.25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</row>
    <row r="3133" spans="1:37" ht="15.75" x14ac:dyDescent="0.25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</row>
    <row r="3134" spans="1:37" ht="15.75" x14ac:dyDescent="0.25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</row>
    <row r="3135" spans="1:37" ht="15.75" x14ac:dyDescent="0.25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</row>
    <row r="3136" spans="1:37" ht="15.75" x14ac:dyDescent="0.25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</row>
    <row r="3137" spans="1:37" ht="15.75" x14ac:dyDescent="0.25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</row>
    <row r="3138" spans="1:37" ht="15.75" x14ac:dyDescent="0.25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</row>
    <row r="3139" spans="1:37" ht="15.75" x14ac:dyDescent="0.25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</row>
    <row r="3140" spans="1:37" ht="15.75" x14ac:dyDescent="0.25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</row>
    <row r="3141" spans="1:37" ht="15.75" x14ac:dyDescent="0.25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</row>
    <row r="3142" spans="1:37" ht="15.75" x14ac:dyDescent="0.25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</row>
    <row r="3143" spans="1:37" ht="15.75" x14ac:dyDescent="0.25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</row>
    <row r="3144" spans="1:37" ht="15.75" x14ac:dyDescent="0.25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</row>
    <row r="3145" spans="1:37" ht="15.75" x14ac:dyDescent="0.25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</row>
    <row r="3146" spans="1:37" ht="15.75" x14ac:dyDescent="0.25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</row>
    <row r="3147" spans="1:37" ht="15.75" x14ac:dyDescent="0.25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</row>
    <row r="3148" spans="1:37" ht="15.75" x14ac:dyDescent="0.25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</row>
    <row r="3149" spans="1:37" ht="15.75" x14ac:dyDescent="0.25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</row>
    <row r="3150" spans="1:37" ht="15.75" x14ac:dyDescent="0.25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</row>
    <row r="3151" spans="1:37" ht="15.75" x14ac:dyDescent="0.25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</row>
    <row r="3152" spans="1:37" ht="15.75" x14ac:dyDescent="0.25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</row>
    <row r="3153" spans="1:37" ht="15.75" x14ac:dyDescent="0.25">
      <c r="A3153" s="7"/>
      <c r="B3153" s="7"/>
      <c r="C3153" s="7"/>
      <c r="D3153" s="7"/>
      <c r="E3153" s="7"/>
      <c r="F3153" s="7"/>
      <c r="G3153" s="7"/>
      <c r="H3153" s="13"/>
      <c r="I3153" s="7"/>
      <c r="J3153" s="7"/>
      <c r="K3153" s="7"/>
      <c r="L3153" s="7"/>
      <c r="M3153" s="7"/>
      <c r="N3153" s="7"/>
      <c r="O3153" s="7"/>
      <c r="P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</row>
    <row r="3154" spans="1:37" ht="15.75" x14ac:dyDescent="0.25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</row>
    <row r="3155" spans="1:37" ht="15.75" x14ac:dyDescent="0.25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</row>
    <row r="3156" spans="1:37" ht="15.75" x14ac:dyDescent="0.25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</row>
    <row r="3157" spans="1:37" ht="15.75" x14ac:dyDescent="0.25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</row>
    <row r="3158" spans="1:37" ht="15.75" x14ac:dyDescent="0.25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</row>
    <row r="3159" spans="1:37" ht="15.75" x14ac:dyDescent="0.25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</row>
    <row r="3160" spans="1:37" ht="15.75" x14ac:dyDescent="0.25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</row>
    <row r="3161" spans="1:37" ht="15.75" x14ac:dyDescent="0.25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</row>
    <row r="3162" spans="1:37" ht="15.75" x14ac:dyDescent="0.25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</row>
    <row r="3163" spans="1:37" ht="15.75" x14ac:dyDescent="0.25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</row>
    <row r="3164" spans="1:37" ht="15.75" x14ac:dyDescent="0.25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</row>
    <row r="3165" spans="1:37" ht="15.75" x14ac:dyDescent="0.25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</row>
    <row r="3166" spans="1:37" ht="15.75" x14ac:dyDescent="0.25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</row>
    <row r="3167" spans="1:37" ht="15.75" x14ac:dyDescent="0.25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</row>
    <row r="3168" spans="1:37" ht="15.75" x14ac:dyDescent="0.25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</row>
    <row r="3169" spans="1:37" ht="15.75" x14ac:dyDescent="0.25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</row>
    <row r="3170" spans="1:37" ht="15.75" x14ac:dyDescent="0.25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</row>
    <row r="3171" spans="1:37" ht="15.75" x14ac:dyDescent="0.25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</row>
    <row r="3172" spans="1:37" ht="15.75" x14ac:dyDescent="0.25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</row>
    <row r="3173" spans="1:37" ht="15.75" x14ac:dyDescent="0.25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</row>
    <row r="3174" spans="1:37" ht="15.75" x14ac:dyDescent="0.25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</row>
    <row r="3175" spans="1:37" ht="15.75" x14ac:dyDescent="0.25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</row>
    <row r="3176" spans="1:37" ht="15.75" x14ac:dyDescent="0.25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</row>
    <row r="3177" spans="1:37" ht="15.75" x14ac:dyDescent="0.25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</row>
    <row r="3178" spans="1:37" ht="15.75" x14ac:dyDescent="0.25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</row>
    <row r="3179" spans="1:37" ht="15.75" x14ac:dyDescent="0.25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</row>
    <row r="3180" spans="1:37" ht="15.75" x14ac:dyDescent="0.25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</row>
    <row r="3181" spans="1:37" ht="15.75" x14ac:dyDescent="0.25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</row>
    <row r="3182" spans="1:37" ht="15.75" x14ac:dyDescent="0.25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</row>
    <row r="3183" spans="1:37" ht="15.75" x14ac:dyDescent="0.25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</row>
    <row r="3184" spans="1:37" ht="15.75" x14ac:dyDescent="0.25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</row>
    <row r="3185" spans="1:37" ht="15.75" x14ac:dyDescent="0.25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</row>
    <row r="3186" spans="1:37" ht="15.75" x14ac:dyDescent="0.25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</row>
    <row r="3187" spans="1:37" ht="15.75" x14ac:dyDescent="0.25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</row>
    <row r="3188" spans="1:37" ht="15.75" x14ac:dyDescent="0.25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</row>
    <row r="3189" spans="1:37" ht="15.75" x14ac:dyDescent="0.25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</row>
    <row r="3190" spans="1:37" ht="15.75" x14ac:dyDescent="0.25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</row>
    <row r="3191" spans="1:37" ht="15.75" x14ac:dyDescent="0.25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</row>
    <row r="3192" spans="1:37" ht="15.75" x14ac:dyDescent="0.25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</row>
    <row r="3193" spans="1:37" ht="15.75" x14ac:dyDescent="0.25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</row>
    <row r="3194" spans="1:37" ht="15.75" x14ac:dyDescent="0.25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</row>
    <row r="3195" spans="1:37" ht="15.75" x14ac:dyDescent="0.25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</row>
    <row r="3196" spans="1:37" ht="15.75" x14ac:dyDescent="0.25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</row>
    <row r="3197" spans="1:37" ht="15.75" x14ac:dyDescent="0.25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</row>
    <row r="3198" spans="1:37" ht="15.75" x14ac:dyDescent="0.25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</row>
    <row r="3199" spans="1:37" ht="15.75" x14ac:dyDescent="0.25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</row>
    <row r="3200" spans="1:37" ht="15.75" x14ac:dyDescent="0.25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</row>
    <row r="3201" spans="1:37" ht="15.75" x14ac:dyDescent="0.25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</row>
    <row r="3202" spans="1:37" ht="15.75" x14ac:dyDescent="0.25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</row>
    <row r="3203" spans="1:37" ht="15.75" x14ac:dyDescent="0.25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</row>
    <row r="3204" spans="1:37" ht="15.75" x14ac:dyDescent="0.25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</row>
    <row r="3205" spans="1:37" ht="15.75" x14ac:dyDescent="0.25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</row>
    <row r="3206" spans="1:37" ht="15.75" x14ac:dyDescent="0.25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</row>
    <row r="3207" spans="1:37" ht="15.75" x14ac:dyDescent="0.25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</row>
    <row r="3208" spans="1:37" ht="15.75" x14ac:dyDescent="0.25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</row>
    <row r="3209" spans="1:37" ht="15.75" x14ac:dyDescent="0.25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</row>
    <row r="3210" spans="1:37" ht="15.75" x14ac:dyDescent="0.25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</row>
    <row r="3211" spans="1:37" ht="15.75" x14ac:dyDescent="0.25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</row>
    <row r="3212" spans="1:37" ht="15.75" x14ac:dyDescent="0.25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</row>
    <row r="3213" spans="1:37" ht="15.75" x14ac:dyDescent="0.25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</row>
    <row r="3214" spans="1:37" ht="15.75" x14ac:dyDescent="0.25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</row>
    <row r="3215" spans="1:37" ht="15.75" x14ac:dyDescent="0.25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</row>
    <row r="3216" spans="1:37" ht="15.75" x14ac:dyDescent="0.25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</row>
    <row r="3217" spans="1:37" ht="15.75" x14ac:dyDescent="0.25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</row>
    <row r="3218" spans="1:37" ht="15.75" x14ac:dyDescent="0.25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</row>
    <row r="3219" spans="1:37" ht="15.75" x14ac:dyDescent="0.25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</row>
    <row r="3220" spans="1:37" ht="15.75" x14ac:dyDescent="0.25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</row>
    <row r="3221" spans="1:37" ht="15.75" x14ac:dyDescent="0.25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</row>
    <row r="3222" spans="1:37" ht="15.75" x14ac:dyDescent="0.25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</row>
    <row r="3223" spans="1:37" ht="15.75" x14ac:dyDescent="0.25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</row>
    <row r="3224" spans="1:37" ht="15.75" x14ac:dyDescent="0.25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</row>
    <row r="3225" spans="1:37" ht="15.75" x14ac:dyDescent="0.25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</row>
    <row r="3226" spans="1:37" ht="15.75" x14ac:dyDescent="0.25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</row>
    <row r="3227" spans="1:37" ht="15.75" x14ac:dyDescent="0.25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</row>
    <row r="3228" spans="1:37" ht="15.75" x14ac:dyDescent="0.25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</row>
    <row r="3229" spans="1:37" ht="15.75" x14ac:dyDescent="0.25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</row>
    <row r="3230" spans="1:37" ht="15.75" x14ac:dyDescent="0.25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</row>
    <row r="3231" spans="1:37" ht="15.75" x14ac:dyDescent="0.25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</row>
    <row r="3232" spans="1:37" ht="15.75" x14ac:dyDescent="0.25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</row>
    <row r="3233" spans="1:37" ht="15.75" x14ac:dyDescent="0.25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</row>
    <row r="3234" spans="1:37" ht="15.75" x14ac:dyDescent="0.25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</row>
    <row r="3235" spans="1:37" ht="15.75" x14ac:dyDescent="0.25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</row>
    <row r="3236" spans="1:37" ht="15.75" x14ac:dyDescent="0.25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</row>
    <row r="3237" spans="1:37" ht="15.75" x14ac:dyDescent="0.25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</row>
    <row r="3238" spans="1:37" ht="15.75" x14ac:dyDescent="0.25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</row>
    <row r="3239" spans="1:37" ht="15.75" x14ac:dyDescent="0.25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</row>
    <row r="3240" spans="1:37" ht="15.75" x14ac:dyDescent="0.25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</row>
    <row r="3241" spans="1:37" ht="15.75" x14ac:dyDescent="0.25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</row>
    <row r="3242" spans="1:37" ht="15.75" x14ac:dyDescent="0.25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</row>
    <row r="3243" spans="1:37" ht="15.75" x14ac:dyDescent="0.25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</row>
    <row r="3244" spans="1:37" ht="15.75" x14ac:dyDescent="0.25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</row>
    <row r="3245" spans="1:37" ht="15.75" x14ac:dyDescent="0.25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</row>
    <row r="3246" spans="1:37" ht="15.75" x14ac:dyDescent="0.25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</row>
    <row r="3247" spans="1:37" ht="15.75" x14ac:dyDescent="0.25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</row>
    <row r="3248" spans="1:37" ht="15.75" x14ac:dyDescent="0.25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</row>
    <row r="3249" spans="1:37" ht="15.75" x14ac:dyDescent="0.25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</row>
    <row r="3250" spans="1:37" ht="15.75" x14ac:dyDescent="0.25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</row>
    <row r="3251" spans="1:37" ht="15.75" x14ac:dyDescent="0.25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</row>
    <row r="3252" spans="1:37" ht="15.75" x14ac:dyDescent="0.25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</row>
    <row r="3253" spans="1:37" ht="15.75" x14ac:dyDescent="0.25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</row>
    <row r="3254" spans="1:37" ht="15.75" x14ac:dyDescent="0.25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</row>
    <row r="3255" spans="1:37" ht="15.75" x14ac:dyDescent="0.25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</row>
    <row r="3256" spans="1:37" ht="15.75" x14ac:dyDescent="0.25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</row>
    <row r="3257" spans="1:37" ht="15.75" x14ac:dyDescent="0.25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</row>
    <row r="3258" spans="1:37" ht="15.75" x14ac:dyDescent="0.25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</row>
    <row r="3259" spans="1:37" ht="15.75" x14ac:dyDescent="0.25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</row>
    <row r="3260" spans="1:37" ht="15.75" x14ac:dyDescent="0.25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</row>
    <row r="3261" spans="1:37" ht="15.75" x14ac:dyDescent="0.25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</row>
    <row r="3262" spans="1:37" ht="15.75" x14ac:dyDescent="0.25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</row>
    <row r="3263" spans="1:37" ht="15.75" x14ac:dyDescent="0.25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</row>
    <row r="3264" spans="1:37" ht="15.75" x14ac:dyDescent="0.25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</row>
    <row r="3265" spans="1:37" ht="15.75" x14ac:dyDescent="0.25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</row>
    <row r="3266" spans="1:37" ht="15.75" x14ac:dyDescent="0.25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</row>
    <row r="3267" spans="1:37" ht="15.75" x14ac:dyDescent="0.25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</row>
    <row r="3268" spans="1:37" ht="15.75" x14ac:dyDescent="0.25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</row>
    <row r="3269" spans="1:37" ht="15.75" x14ac:dyDescent="0.25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</row>
    <row r="3270" spans="1:37" ht="15.75" x14ac:dyDescent="0.25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</row>
    <row r="3271" spans="1:37" ht="15.75" x14ac:dyDescent="0.25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</row>
    <row r="3272" spans="1:37" ht="15.75" x14ac:dyDescent="0.25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</row>
    <row r="3273" spans="1:37" ht="15.75" x14ac:dyDescent="0.25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</row>
    <row r="3274" spans="1:37" ht="15.75" x14ac:dyDescent="0.25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</row>
    <row r="3275" spans="1:37" ht="15.75" x14ac:dyDescent="0.25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</row>
    <row r="3276" spans="1:37" ht="15.75" x14ac:dyDescent="0.25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</row>
    <row r="3277" spans="1:37" ht="15.75" x14ac:dyDescent="0.25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</row>
    <row r="3278" spans="1:37" ht="15.75" x14ac:dyDescent="0.25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</row>
    <row r="3279" spans="1:37" ht="15.75" x14ac:dyDescent="0.25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</row>
    <row r="3280" spans="1:37" ht="15.75" x14ac:dyDescent="0.25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</row>
    <row r="3281" spans="1:37" ht="15.75" x14ac:dyDescent="0.25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</row>
    <row r="3282" spans="1:37" ht="15.75" x14ac:dyDescent="0.25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</row>
    <row r="3283" spans="1:37" ht="15.75" x14ac:dyDescent="0.25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</row>
    <row r="3284" spans="1:37" ht="15.75" x14ac:dyDescent="0.25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</row>
    <row r="3285" spans="1:37" ht="15.75" x14ac:dyDescent="0.25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</row>
    <row r="3286" spans="1:37" ht="15.75" x14ac:dyDescent="0.25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</row>
    <row r="3287" spans="1:37" ht="15.75" x14ac:dyDescent="0.25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</row>
    <row r="3288" spans="1:37" ht="15.75" x14ac:dyDescent="0.25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</row>
    <row r="3289" spans="1:37" ht="15.75" x14ac:dyDescent="0.25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</row>
    <row r="3290" spans="1:37" ht="15.75" x14ac:dyDescent="0.25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</row>
    <row r="3291" spans="1:37" ht="15.75" x14ac:dyDescent="0.25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</row>
    <row r="3292" spans="1:37" ht="15.75" x14ac:dyDescent="0.25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</row>
    <row r="3293" spans="1:37" ht="15.75" x14ac:dyDescent="0.25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</row>
    <row r="3294" spans="1:37" ht="15.75" x14ac:dyDescent="0.25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</row>
    <row r="3295" spans="1:37" ht="15.75" x14ac:dyDescent="0.25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</row>
    <row r="3296" spans="1:37" ht="15.75" x14ac:dyDescent="0.25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</row>
    <row r="3297" spans="1:37" ht="15.75" x14ac:dyDescent="0.25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</row>
    <row r="3298" spans="1:37" ht="15.75" x14ac:dyDescent="0.25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</row>
    <row r="3299" spans="1:37" ht="15.75" x14ac:dyDescent="0.25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</row>
    <row r="3300" spans="1:37" ht="15.75" x14ac:dyDescent="0.25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</row>
    <row r="3301" spans="1:37" ht="15.75" x14ac:dyDescent="0.25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</row>
    <row r="3302" spans="1:37" ht="15.75" x14ac:dyDescent="0.25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</row>
    <row r="3303" spans="1:37" ht="15.75" x14ac:dyDescent="0.25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</row>
    <row r="3304" spans="1:37" ht="15.75" x14ac:dyDescent="0.25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</row>
    <row r="3305" spans="1:37" ht="15.75" x14ac:dyDescent="0.25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</row>
    <row r="3306" spans="1:37" ht="15.75" x14ac:dyDescent="0.25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</row>
    <row r="3307" spans="1:37" ht="15.75" x14ac:dyDescent="0.25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</row>
    <row r="3308" spans="1:37" ht="15.75" x14ac:dyDescent="0.25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</row>
    <row r="3309" spans="1:37" ht="15.75" x14ac:dyDescent="0.25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</row>
    <row r="3310" spans="1:37" ht="15.75" x14ac:dyDescent="0.25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</row>
    <row r="3311" spans="1:37" ht="15.75" x14ac:dyDescent="0.25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</row>
    <row r="3312" spans="1:37" ht="15.75" x14ac:dyDescent="0.25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</row>
    <row r="3313" spans="1:37" ht="15.75" x14ac:dyDescent="0.25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</row>
    <row r="3314" spans="1:37" ht="15.75" x14ac:dyDescent="0.25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</row>
    <row r="3315" spans="1:37" ht="15.75" x14ac:dyDescent="0.25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</row>
    <row r="3316" spans="1:37" ht="15.75" x14ac:dyDescent="0.25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</row>
    <row r="3317" spans="1:37" ht="15.75" x14ac:dyDescent="0.25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</row>
    <row r="3318" spans="1:37" ht="15.75" x14ac:dyDescent="0.25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</row>
    <row r="3319" spans="1:37" ht="15.75" x14ac:dyDescent="0.25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</row>
    <row r="3320" spans="1:37" ht="15.75" x14ac:dyDescent="0.25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</row>
    <row r="3321" spans="1:37" ht="15.75" x14ac:dyDescent="0.25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</row>
    <row r="3322" spans="1:37" ht="15.75" x14ac:dyDescent="0.25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</row>
    <row r="3323" spans="1:37" ht="15.75" x14ac:dyDescent="0.25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</row>
    <row r="3324" spans="1:37" ht="15.75" x14ac:dyDescent="0.25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</row>
    <row r="3325" spans="1:37" ht="15.75" x14ac:dyDescent="0.25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</row>
    <row r="3326" spans="1:37" ht="15.75" x14ac:dyDescent="0.25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</row>
    <row r="3327" spans="1:37" ht="15.75" x14ac:dyDescent="0.25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</row>
    <row r="3328" spans="1:37" ht="15.75" x14ac:dyDescent="0.25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</row>
    <row r="3329" spans="1:37" ht="15.75" x14ac:dyDescent="0.25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</row>
    <row r="3330" spans="1:37" ht="15.75" x14ac:dyDescent="0.25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</row>
    <row r="3331" spans="1:37" ht="15.75" x14ac:dyDescent="0.25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</row>
    <row r="3332" spans="1:37" ht="15.75" x14ac:dyDescent="0.25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</row>
    <row r="3333" spans="1:37" ht="15.75" x14ac:dyDescent="0.25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</row>
    <row r="3334" spans="1:37" ht="15.75" x14ac:dyDescent="0.25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</row>
    <row r="3335" spans="1:37" ht="15.75" x14ac:dyDescent="0.25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</row>
    <row r="3336" spans="1:37" ht="15.75" x14ac:dyDescent="0.25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</row>
    <row r="3337" spans="1:37" ht="15.75" x14ac:dyDescent="0.25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</row>
    <row r="3338" spans="1:37" ht="15.75" x14ac:dyDescent="0.25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</row>
    <row r="3339" spans="1:37" ht="15.75" x14ac:dyDescent="0.25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</row>
    <row r="3340" spans="1:37" ht="15.75" x14ac:dyDescent="0.25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</row>
    <row r="3341" spans="1:37" ht="15.75" x14ac:dyDescent="0.25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</row>
    <row r="3342" spans="1:37" ht="15.75" x14ac:dyDescent="0.25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</row>
    <row r="3343" spans="1:37" ht="15.75" x14ac:dyDescent="0.25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</row>
    <row r="3344" spans="1:37" ht="15.75" x14ac:dyDescent="0.25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</row>
    <row r="3345" spans="1:37" ht="15.75" x14ac:dyDescent="0.25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</row>
    <row r="3346" spans="1:37" ht="15.75" x14ac:dyDescent="0.25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</row>
    <row r="3347" spans="1:37" ht="15.75" x14ac:dyDescent="0.25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</row>
    <row r="3348" spans="1:37" ht="15.75" x14ac:dyDescent="0.25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</row>
    <row r="3349" spans="1:37" ht="15.75" x14ac:dyDescent="0.25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</row>
    <row r="3350" spans="1:37" ht="15.75" x14ac:dyDescent="0.25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</row>
    <row r="3351" spans="1:37" ht="15.75" x14ac:dyDescent="0.25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</row>
    <row r="3352" spans="1:37" ht="15.75" x14ac:dyDescent="0.25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</row>
    <row r="3353" spans="1:37" ht="15.75" x14ac:dyDescent="0.25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</row>
    <row r="3354" spans="1:37" ht="15.75" x14ac:dyDescent="0.25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</row>
    <row r="3355" spans="1:37" ht="15.75" x14ac:dyDescent="0.25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</row>
    <row r="3356" spans="1:37" ht="15.75" x14ac:dyDescent="0.25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</row>
    <row r="3357" spans="1:37" ht="15.75" x14ac:dyDescent="0.25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</row>
    <row r="3358" spans="1:37" ht="15.75" x14ac:dyDescent="0.25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</row>
    <row r="3359" spans="1:37" ht="15.75" x14ac:dyDescent="0.25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</row>
    <row r="3360" spans="1:37" ht="15.75" x14ac:dyDescent="0.25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</row>
    <row r="3361" spans="1:37" ht="15.75" x14ac:dyDescent="0.25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</row>
    <row r="3362" spans="1:37" ht="15.75" x14ac:dyDescent="0.25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</row>
    <row r="3363" spans="1:37" ht="15.75" x14ac:dyDescent="0.25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</row>
    <row r="3364" spans="1:37" ht="15.75" x14ac:dyDescent="0.25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</row>
    <row r="3365" spans="1:37" ht="15.75" x14ac:dyDescent="0.25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</row>
    <row r="3366" spans="1:37" ht="15.75" x14ac:dyDescent="0.25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</row>
    <row r="3367" spans="1:37" ht="15.75" x14ac:dyDescent="0.25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</row>
    <row r="3368" spans="1:37" ht="15.75" x14ac:dyDescent="0.25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</row>
    <row r="3369" spans="1:37" ht="15.75" x14ac:dyDescent="0.25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</row>
    <row r="3370" spans="1:37" ht="15.75" x14ac:dyDescent="0.25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</row>
    <row r="3371" spans="1:37" ht="15.75" x14ac:dyDescent="0.25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</row>
    <row r="3372" spans="1:37" ht="15.75" x14ac:dyDescent="0.25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</row>
    <row r="3373" spans="1:37" ht="15.75" x14ac:dyDescent="0.25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</row>
    <row r="3374" spans="1:37" ht="15.75" x14ac:dyDescent="0.25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</row>
    <row r="3375" spans="1:37" ht="15.75" x14ac:dyDescent="0.25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</row>
    <row r="3376" spans="1:37" ht="15.75" x14ac:dyDescent="0.25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</row>
    <row r="3377" spans="1:37" ht="15.75" x14ac:dyDescent="0.25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</row>
    <row r="3378" spans="1:37" ht="15.75" x14ac:dyDescent="0.25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</row>
    <row r="3379" spans="1:37" ht="15.75" x14ac:dyDescent="0.25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</row>
    <row r="3380" spans="1:37" ht="15.75" x14ac:dyDescent="0.25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</row>
    <row r="3381" spans="1:37" ht="15.75" x14ac:dyDescent="0.25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</row>
    <row r="3382" spans="1:37" ht="15.75" x14ac:dyDescent="0.25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</row>
    <row r="3383" spans="1:37" ht="15.75" x14ac:dyDescent="0.25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</row>
    <row r="3384" spans="1:37" ht="15.75" x14ac:dyDescent="0.25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</row>
    <row r="3385" spans="1:37" ht="15.75" x14ac:dyDescent="0.25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</row>
    <row r="3386" spans="1:37" ht="15.75" x14ac:dyDescent="0.25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</row>
    <row r="3387" spans="1:37" ht="15.75" x14ac:dyDescent="0.25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</row>
    <row r="3388" spans="1:37" ht="15.75" x14ac:dyDescent="0.25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</row>
    <row r="3389" spans="1:37" ht="15.75" x14ac:dyDescent="0.25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</row>
    <row r="3390" spans="1:37" ht="15.75" x14ac:dyDescent="0.25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</row>
    <row r="3391" spans="1:37" ht="15.75" x14ac:dyDescent="0.25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</row>
    <row r="3392" spans="1:37" ht="15.75" x14ac:dyDescent="0.25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</row>
    <row r="3393" spans="1:37" ht="15.75" x14ac:dyDescent="0.25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</row>
    <row r="3394" spans="1:37" ht="15.75" x14ac:dyDescent="0.25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</row>
    <row r="3395" spans="1:37" ht="15.75" x14ac:dyDescent="0.25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</row>
    <row r="3396" spans="1:37" ht="15.75" x14ac:dyDescent="0.25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</row>
    <row r="3397" spans="1:37" ht="15.75" x14ac:dyDescent="0.25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</row>
    <row r="3398" spans="1:37" ht="15.75" x14ac:dyDescent="0.25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</row>
    <row r="3399" spans="1:37" ht="15.75" x14ac:dyDescent="0.25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</row>
    <row r="3400" spans="1:37" ht="15.75" x14ac:dyDescent="0.25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</row>
    <row r="3401" spans="1:37" ht="15.75" x14ac:dyDescent="0.25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</row>
    <row r="3402" spans="1:37" ht="15.75" x14ac:dyDescent="0.25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</row>
    <row r="3403" spans="1:37" ht="15.75" x14ac:dyDescent="0.25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</row>
    <row r="3404" spans="1:37" ht="15.75" x14ac:dyDescent="0.25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</row>
    <row r="3405" spans="1:37" ht="15.75" x14ac:dyDescent="0.25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</row>
    <row r="3406" spans="1:37" ht="15.75" x14ac:dyDescent="0.25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</row>
    <row r="3407" spans="1:37" ht="15.75" x14ac:dyDescent="0.25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</row>
    <row r="3408" spans="1:37" ht="15.75" x14ac:dyDescent="0.25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</row>
    <row r="3409" spans="1:37" ht="15.75" x14ac:dyDescent="0.25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</row>
    <row r="3410" spans="1:37" ht="15.75" x14ac:dyDescent="0.25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</row>
    <row r="3411" spans="1:37" ht="15.75" x14ac:dyDescent="0.25">
      <c r="A3411" s="7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</row>
    <row r="3412" spans="1:37" ht="15.75" x14ac:dyDescent="0.25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</row>
    <row r="3413" spans="1:37" ht="15.75" x14ac:dyDescent="0.25">
      <c r="A3413" s="7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</row>
    <row r="3414" spans="1:37" ht="15.75" x14ac:dyDescent="0.25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</row>
    <row r="3415" spans="1:37" ht="15.75" x14ac:dyDescent="0.25">
      <c r="A3415" s="7"/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</row>
    <row r="3416" spans="1:37" ht="15.75" x14ac:dyDescent="0.25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</row>
    <row r="3417" spans="1:37" ht="15.75" x14ac:dyDescent="0.25">
      <c r="A3417" s="7"/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</row>
    <row r="3418" spans="1:37" ht="15.75" x14ac:dyDescent="0.25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</row>
    <row r="3419" spans="1:37" ht="15.75" x14ac:dyDescent="0.25">
      <c r="A3419" s="7"/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</row>
    <row r="3420" spans="1:37" ht="15.75" x14ac:dyDescent="0.25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</row>
    <row r="3421" spans="1:37" ht="15.75" x14ac:dyDescent="0.25">
      <c r="A3421" s="7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</row>
    <row r="3422" spans="1:37" ht="15.75" x14ac:dyDescent="0.25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</row>
    <row r="3423" spans="1:37" ht="15.75" x14ac:dyDescent="0.25">
      <c r="A3423" s="7"/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</row>
    <row r="3424" spans="1:37" ht="15.75" x14ac:dyDescent="0.25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</row>
    <row r="3425" spans="1:37" ht="15.75" x14ac:dyDescent="0.25">
      <c r="A3425" s="7"/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</row>
    <row r="3426" spans="1:37" ht="15.75" x14ac:dyDescent="0.25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</row>
    <row r="3427" spans="1:37" ht="15.75" x14ac:dyDescent="0.25">
      <c r="A3427" s="7"/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</row>
    <row r="3428" spans="1:37" ht="15.75" x14ac:dyDescent="0.25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</row>
    <row r="3429" spans="1:37" ht="15.75" x14ac:dyDescent="0.25">
      <c r="A3429" s="7"/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</row>
    <row r="3430" spans="1:37" ht="15.75" x14ac:dyDescent="0.25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</row>
    <row r="3431" spans="1:37" ht="15.75" x14ac:dyDescent="0.25">
      <c r="A3431" s="7"/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</row>
    <row r="3432" spans="1:37" ht="15.75" x14ac:dyDescent="0.25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</row>
    <row r="3433" spans="1:37" ht="15.75" x14ac:dyDescent="0.25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</row>
    <row r="3434" spans="1:37" ht="15.75" x14ac:dyDescent="0.25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</row>
    <row r="3435" spans="1:37" ht="15.75" x14ac:dyDescent="0.25">
      <c r="A3435" s="7"/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</row>
    <row r="3436" spans="1:37" ht="15.75" x14ac:dyDescent="0.25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</row>
    <row r="3437" spans="1:37" ht="15.75" x14ac:dyDescent="0.25">
      <c r="A3437" s="7"/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</row>
    <row r="3438" spans="1:37" ht="15.75" x14ac:dyDescent="0.25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</row>
    <row r="3439" spans="1:37" ht="15.75" x14ac:dyDescent="0.25">
      <c r="A3439" s="7"/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</row>
    <row r="3440" spans="1:37" ht="15.75" x14ac:dyDescent="0.25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</row>
    <row r="3441" spans="1:37" ht="15.75" x14ac:dyDescent="0.25">
      <c r="A3441" s="7"/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</row>
    <row r="3442" spans="1:37" ht="15.75" x14ac:dyDescent="0.25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</row>
    <row r="3443" spans="1:37" ht="15.75" x14ac:dyDescent="0.25">
      <c r="A3443" s="7"/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</row>
    <row r="3444" spans="1:37" ht="15.75" x14ac:dyDescent="0.25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</row>
    <row r="3445" spans="1:37" ht="15.75" x14ac:dyDescent="0.25">
      <c r="A3445" s="7"/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</row>
    <row r="3446" spans="1:37" ht="15.75" x14ac:dyDescent="0.25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</row>
    <row r="3447" spans="1:37" ht="15.75" x14ac:dyDescent="0.25">
      <c r="A3447" s="7"/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</row>
    <row r="3448" spans="1:37" ht="15.75" x14ac:dyDescent="0.25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</row>
    <row r="3449" spans="1:37" ht="15.75" x14ac:dyDescent="0.25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</row>
    <row r="3450" spans="1:37" ht="15.75" x14ac:dyDescent="0.25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</row>
    <row r="3451" spans="1:37" ht="15.75" x14ac:dyDescent="0.25">
      <c r="A3451" s="7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</row>
    <row r="3452" spans="1:37" ht="15.75" x14ac:dyDescent="0.25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</row>
    <row r="3453" spans="1:37" ht="15.75" x14ac:dyDescent="0.25">
      <c r="A3453" s="7"/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</row>
    <row r="3454" spans="1:37" ht="15.75" x14ac:dyDescent="0.25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</row>
    <row r="3455" spans="1:37" ht="15.75" x14ac:dyDescent="0.25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</row>
    <row r="3456" spans="1:37" ht="15.75" x14ac:dyDescent="0.25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</row>
    <row r="3457" spans="1:37" ht="15.75" x14ac:dyDescent="0.25">
      <c r="A3457" s="7"/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</row>
    <row r="3458" spans="1:37" ht="15.75" x14ac:dyDescent="0.25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</row>
    <row r="3459" spans="1:37" ht="15.75" x14ac:dyDescent="0.25">
      <c r="A3459" s="7"/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</row>
    <row r="3460" spans="1:37" ht="15.75" x14ac:dyDescent="0.25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</row>
    <row r="3461" spans="1:37" ht="15.75" x14ac:dyDescent="0.25">
      <c r="A3461" s="7"/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</row>
    <row r="3462" spans="1:37" ht="15.75" x14ac:dyDescent="0.25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</row>
    <row r="3463" spans="1:37" ht="15.75" x14ac:dyDescent="0.25">
      <c r="A3463" s="7"/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</row>
    <row r="3464" spans="1:37" ht="15.75" x14ac:dyDescent="0.25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</row>
    <row r="3465" spans="1:37" ht="15.75" x14ac:dyDescent="0.25">
      <c r="A3465" s="7"/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</row>
    <row r="3466" spans="1:37" ht="15.75" x14ac:dyDescent="0.25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</row>
    <row r="3467" spans="1:37" ht="15.75" x14ac:dyDescent="0.25">
      <c r="A3467" s="7"/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</row>
    <row r="3468" spans="1:37" ht="15.75" x14ac:dyDescent="0.25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</row>
    <row r="3469" spans="1:37" ht="15.75" x14ac:dyDescent="0.25">
      <c r="A3469" s="7"/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</row>
    <row r="3470" spans="1:37" ht="15.75" x14ac:dyDescent="0.25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</row>
    <row r="3471" spans="1:37" ht="15.75" x14ac:dyDescent="0.25">
      <c r="A3471" s="7"/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</row>
    <row r="3472" spans="1:37" ht="15.75" x14ac:dyDescent="0.25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</row>
    <row r="3473" spans="1:37" ht="15.75" x14ac:dyDescent="0.25">
      <c r="A3473" s="7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</row>
    <row r="3474" spans="1:37" ht="15.75" x14ac:dyDescent="0.25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</row>
    <row r="3475" spans="1:37" ht="15.75" x14ac:dyDescent="0.25">
      <c r="A3475" s="7"/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</row>
    <row r="3476" spans="1:37" ht="15.75" x14ac:dyDescent="0.25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</row>
    <row r="3477" spans="1:37" ht="15.75" x14ac:dyDescent="0.25">
      <c r="A3477" s="7"/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</row>
    <row r="3478" spans="1:37" ht="15.75" x14ac:dyDescent="0.25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</row>
    <row r="3479" spans="1:37" ht="15.75" x14ac:dyDescent="0.25">
      <c r="A3479" s="7"/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</row>
    <row r="3480" spans="1:37" ht="15.75" x14ac:dyDescent="0.25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</row>
    <row r="3481" spans="1:37" ht="15.75" x14ac:dyDescent="0.25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</row>
    <row r="3482" spans="1:37" ht="15.75" x14ac:dyDescent="0.25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</row>
    <row r="3483" spans="1:37" ht="15.75" x14ac:dyDescent="0.25">
      <c r="A3483" s="7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</row>
    <row r="3484" spans="1:37" ht="15.75" x14ac:dyDescent="0.25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</row>
    <row r="3485" spans="1:37" ht="15.75" x14ac:dyDescent="0.25">
      <c r="A3485" s="7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</row>
    <row r="3486" spans="1:37" ht="15.75" x14ac:dyDescent="0.25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</row>
    <row r="3487" spans="1:37" ht="15.75" x14ac:dyDescent="0.25">
      <c r="A3487" s="7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</row>
    <row r="3488" spans="1:37" ht="15.75" x14ac:dyDescent="0.25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</row>
    <row r="3489" spans="1:37" ht="15.75" x14ac:dyDescent="0.25">
      <c r="A3489" s="7"/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</row>
    <row r="3490" spans="1:37" ht="15.75" x14ac:dyDescent="0.25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</row>
    <row r="3491" spans="1:37" ht="15.75" x14ac:dyDescent="0.25">
      <c r="A3491" s="7"/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</row>
    <row r="3492" spans="1:37" ht="15.75" x14ac:dyDescent="0.25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</row>
    <row r="3493" spans="1:37" ht="15.75" x14ac:dyDescent="0.25">
      <c r="A3493" s="7"/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</row>
    <row r="3494" spans="1:37" ht="15.75" x14ac:dyDescent="0.25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</row>
    <row r="3495" spans="1:37" ht="15.75" x14ac:dyDescent="0.25">
      <c r="A3495" s="7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</row>
    <row r="3496" spans="1:37" ht="15.75" x14ac:dyDescent="0.25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</row>
    <row r="3497" spans="1:37" ht="15.75" x14ac:dyDescent="0.25">
      <c r="A3497" s="7"/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</row>
    <row r="3498" spans="1:37" ht="15.75" x14ac:dyDescent="0.25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</row>
    <row r="3499" spans="1:37" ht="15.75" x14ac:dyDescent="0.25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</row>
    <row r="3500" spans="1:37" ht="15.75" x14ac:dyDescent="0.25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</row>
    <row r="3501" spans="1:37" ht="15.75" x14ac:dyDescent="0.25">
      <c r="A3501" s="7"/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</row>
    <row r="3502" spans="1:37" ht="15.75" x14ac:dyDescent="0.25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</row>
    <row r="3503" spans="1:37" ht="15.75" x14ac:dyDescent="0.25">
      <c r="A3503" s="7"/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</row>
    <row r="3504" spans="1:37" ht="15.75" x14ac:dyDescent="0.25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</row>
    <row r="3505" spans="1:37" ht="15.75" x14ac:dyDescent="0.25">
      <c r="A3505" s="7"/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</row>
    <row r="3506" spans="1:37" ht="15.75" x14ac:dyDescent="0.25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</row>
    <row r="3507" spans="1:37" ht="15.75" x14ac:dyDescent="0.25">
      <c r="A3507" s="7"/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</row>
    <row r="3508" spans="1:37" ht="15.75" x14ac:dyDescent="0.25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</row>
    <row r="3509" spans="1:37" ht="15.75" x14ac:dyDescent="0.25">
      <c r="A3509" s="7"/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</row>
    <row r="3510" spans="1:37" ht="15.75" x14ac:dyDescent="0.25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</row>
    <row r="3511" spans="1:37" ht="15.75" x14ac:dyDescent="0.25">
      <c r="A3511" s="7"/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</row>
    <row r="3512" spans="1:37" ht="15.75" x14ac:dyDescent="0.25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</row>
    <row r="3513" spans="1:37" ht="15.75" x14ac:dyDescent="0.25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</row>
    <row r="3514" spans="1:37" ht="15.75" x14ac:dyDescent="0.25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</row>
    <row r="3515" spans="1:37" ht="15.75" x14ac:dyDescent="0.25">
      <c r="A3515" s="7"/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</row>
    <row r="3516" spans="1:37" ht="15.75" x14ac:dyDescent="0.25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</row>
    <row r="3517" spans="1:37" ht="15.75" x14ac:dyDescent="0.25">
      <c r="A3517" s="7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</row>
    <row r="3518" spans="1:37" ht="15.75" x14ac:dyDescent="0.25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</row>
    <row r="3519" spans="1:37" ht="15.75" x14ac:dyDescent="0.25">
      <c r="A3519" s="7"/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</row>
    <row r="3520" spans="1:37" ht="15.75" x14ac:dyDescent="0.25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</row>
    <row r="3521" spans="1:37" ht="15.75" x14ac:dyDescent="0.25">
      <c r="A3521" s="7"/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</row>
    <row r="3522" spans="1:37" ht="15.75" x14ac:dyDescent="0.25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</row>
    <row r="3523" spans="1:37" ht="15.75" x14ac:dyDescent="0.25">
      <c r="A3523" s="7"/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</row>
    <row r="3524" spans="1:37" ht="15.75" x14ac:dyDescent="0.25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</row>
    <row r="3525" spans="1:37" ht="15.75" x14ac:dyDescent="0.25">
      <c r="A3525" s="7"/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</row>
    <row r="3526" spans="1:37" ht="15.75" x14ac:dyDescent="0.25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</row>
    <row r="3527" spans="1:37" ht="15.75" x14ac:dyDescent="0.25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</row>
    <row r="3528" spans="1:37" ht="15.75" x14ac:dyDescent="0.25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</row>
    <row r="3529" spans="1:37" ht="15.75" x14ac:dyDescent="0.25">
      <c r="A3529" s="7"/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</row>
    <row r="3530" spans="1:37" ht="15.75" x14ac:dyDescent="0.25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</row>
    <row r="3531" spans="1:37" ht="15.75" x14ac:dyDescent="0.25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</row>
    <row r="3532" spans="1:37" ht="15.75" x14ac:dyDescent="0.25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</row>
    <row r="3533" spans="1:37" ht="15.75" x14ac:dyDescent="0.25">
      <c r="A3533" s="7"/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</row>
    <row r="3534" spans="1:37" ht="15.75" x14ac:dyDescent="0.25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</row>
    <row r="3535" spans="1:37" ht="15.75" x14ac:dyDescent="0.25">
      <c r="A3535" s="7"/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</row>
    <row r="3536" spans="1:37" ht="15.75" x14ac:dyDescent="0.25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</row>
    <row r="3537" spans="1:37" ht="15.75" x14ac:dyDescent="0.25">
      <c r="A3537" s="7"/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</row>
    <row r="3538" spans="1:37" ht="15.75" x14ac:dyDescent="0.25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</row>
    <row r="3539" spans="1:37" ht="15.75" x14ac:dyDescent="0.25">
      <c r="A3539" s="7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</row>
    <row r="3540" spans="1:37" ht="15.75" x14ac:dyDescent="0.25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</row>
    <row r="3541" spans="1:37" ht="15.75" x14ac:dyDescent="0.25">
      <c r="A3541" s="7"/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</row>
    <row r="3542" spans="1:37" ht="15.75" x14ac:dyDescent="0.25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</row>
    <row r="3543" spans="1:37" ht="15.75" x14ac:dyDescent="0.25">
      <c r="A3543" s="7"/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</row>
    <row r="3544" spans="1:37" ht="15.75" x14ac:dyDescent="0.25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</row>
    <row r="3545" spans="1:37" ht="15.75" x14ac:dyDescent="0.25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</row>
    <row r="3546" spans="1:37" ht="15.75" x14ac:dyDescent="0.25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</row>
    <row r="3547" spans="1:37" ht="15.75" x14ac:dyDescent="0.25">
      <c r="A3547" s="7"/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</row>
    <row r="3548" spans="1:37" ht="15.75" x14ac:dyDescent="0.25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</row>
    <row r="3549" spans="1:37" ht="15.75" x14ac:dyDescent="0.25">
      <c r="A3549" s="7"/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</row>
    <row r="3550" spans="1:37" ht="15.75" x14ac:dyDescent="0.25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</row>
    <row r="3551" spans="1:37" ht="15.75" x14ac:dyDescent="0.25">
      <c r="A3551" s="7"/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</row>
    <row r="3552" spans="1:37" ht="15.75" x14ac:dyDescent="0.25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</row>
    <row r="3553" spans="1:37" ht="15.75" x14ac:dyDescent="0.25">
      <c r="A3553" s="7"/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</row>
    <row r="3554" spans="1:37" ht="15.75" x14ac:dyDescent="0.25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</row>
    <row r="3555" spans="1:37" ht="15.75" x14ac:dyDescent="0.25">
      <c r="A3555" s="7"/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</row>
    <row r="3556" spans="1:37" ht="15.75" x14ac:dyDescent="0.25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</row>
    <row r="3557" spans="1:37" ht="15.75" x14ac:dyDescent="0.25">
      <c r="A3557" s="7"/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</row>
    <row r="3558" spans="1:37" ht="15.75" x14ac:dyDescent="0.25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</row>
    <row r="3559" spans="1:37" ht="15.75" x14ac:dyDescent="0.25">
      <c r="A3559" s="7"/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</row>
    <row r="3560" spans="1:37" ht="15.75" x14ac:dyDescent="0.25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</row>
    <row r="3561" spans="1:37" ht="15.75" x14ac:dyDescent="0.25">
      <c r="A3561" s="7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</row>
    <row r="3562" spans="1:37" ht="15.75" x14ac:dyDescent="0.25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</row>
    <row r="3563" spans="1:37" ht="15.75" x14ac:dyDescent="0.25">
      <c r="A3563" s="7"/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</row>
    <row r="3564" spans="1:37" ht="15.75" x14ac:dyDescent="0.25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</row>
    <row r="3565" spans="1:37" ht="15.75" x14ac:dyDescent="0.25">
      <c r="A3565" s="7"/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</row>
    <row r="3566" spans="1:37" ht="15.75" x14ac:dyDescent="0.25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</row>
    <row r="3567" spans="1:37" ht="15.75" x14ac:dyDescent="0.25">
      <c r="A3567" s="7"/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</row>
    <row r="3568" spans="1:37" ht="15.75" x14ac:dyDescent="0.25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</row>
    <row r="3569" spans="1:37" ht="15.75" x14ac:dyDescent="0.25">
      <c r="A3569" s="7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</row>
    <row r="3570" spans="1:37" ht="15.75" x14ac:dyDescent="0.25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</row>
    <row r="3571" spans="1:37" ht="15.75" x14ac:dyDescent="0.25">
      <c r="A3571" s="7"/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</row>
    <row r="3572" spans="1:37" ht="15.75" x14ac:dyDescent="0.25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</row>
    <row r="3573" spans="1:37" ht="15.75" x14ac:dyDescent="0.25">
      <c r="A3573" s="7"/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</row>
    <row r="3574" spans="1:37" ht="15.75" x14ac:dyDescent="0.25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</row>
    <row r="3575" spans="1:37" ht="15.75" x14ac:dyDescent="0.25">
      <c r="A3575" s="7"/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</row>
    <row r="3576" spans="1:37" ht="15.75" x14ac:dyDescent="0.25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</row>
    <row r="3577" spans="1:37" ht="15.75" x14ac:dyDescent="0.25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</row>
    <row r="3578" spans="1:37" ht="15.75" x14ac:dyDescent="0.25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</row>
    <row r="3579" spans="1:37" ht="15.75" x14ac:dyDescent="0.25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</row>
    <row r="3580" spans="1:37" ht="15.75" x14ac:dyDescent="0.25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</row>
    <row r="3581" spans="1:37" ht="15.75" x14ac:dyDescent="0.25">
      <c r="A3581" s="7"/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</row>
    <row r="3582" spans="1:37" ht="15.75" x14ac:dyDescent="0.25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</row>
    <row r="3583" spans="1:37" ht="15.75" x14ac:dyDescent="0.25">
      <c r="A3583" s="7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</row>
    <row r="3584" spans="1:37" ht="15.75" x14ac:dyDescent="0.25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</row>
    <row r="3585" spans="1:37" ht="15.75" x14ac:dyDescent="0.25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</row>
    <row r="3586" spans="1:37" ht="15.75" x14ac:dyDescent="0.25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</row>
    <row r="3587" spans="1:37" ht="15.75" x14ac:dyDescent="0.25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</row>
    <row r="3588" spans="1:37" ht="15.75" x14ac:dyDescent="0.25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</row>
    <row r="3589" spans="1:37" ht="15.75" x14ac:dyDescent="0.25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</row>
    <row r="3590" spans="1:37" ht="15.75" x14ac:dyDescent="0.25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</row>
    <row r="3591" spans="1:37" ht="15.75" x14ac:dyDescent="0.25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</row>
    <row r="3592" spans="1:37" ht="15.75" x14ac:dyDescent="0.25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</row>
    <row r="3593" spans="1:37" ht="15.75" x14ac:dyDescent="0.25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</row>
    <row r="3594" spans="1:37" ht="15.75" x14ac:dyDescent="0.25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</row>
    <row r="3595" spans="1:37" ht="15.75" x14ac:dyDescent="0.25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</row>
    <row r="3596" spans="1:37" ht="15.75" x14ac:dyDescent="0.25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</row>
    <row r="3597" spans="1:37" ht="15.75" x14ac:dyDescent="0.25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</row>
    <row r="3598" spans="1:37" ht="15.75" x14ac:dyDescent="0.25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</row>
    <row r="3599" spans="1:37" ht="15.75" x14ac:dyDescent="0.25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</row>
    <row r="3600" spans="1:37" ht="15.75" x14ac:dyDescent="0.25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</row>
    <row r="3601" spans="1:37" ht="15.75" x14ac:dyDescent="0.25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</row>
    <row r="3602" spans="1:37" ht="15.75" x14ac:dyDescent="0.25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</row>
    <row r="3603" spans="1:37" ht="15.75" x14ac:dyDescent="0.25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</row>
    <row r="3604" spans="1:37" ht="15.75" x14ac:dyDescent="0.25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</row>
    <row r="3605" spans="1:37" ht="15.75" x14ac:dyDescent="0.25">
      <c r="A3605" s="7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</row>
    <row r="3606" spans="1:37" ht="15.75" x14ac:dyDescent="0.25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</row>
    <row r="3607" spans="1:37" ht="15.75" x14ac:dyDescent="0.25">
      <c r="A3607" s="7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</row>
    <row r="3608" spans="1:37" ht="15.75" x14ac:dyDescent="0.25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</row>
    <row r="3609" spans="1:37" ht="15.75" x14ac:dyDescent="0.25">
      <c r="A3609" s="7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</row>
    <row r="3610" spans="1:37" ht="15.75" x14ac:dyDescent="0.25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</row>
    <row r="3611" spans="1:37" ht="15.75" x14ac:dyDescent="0.25">
      <c r="A3611" s="7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</row>
    <row r="3612" spans="1:37" ht="15.75" x14ac:dyDescent="0.25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</row>
    <row r="3613" spans="1:37" ht="15.75" x14ac:dyDescent="0.25">
      <c r="A3613" s="7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</row>
    <row r="3614" spans="1:37" ht="15.75" x14ac:dyDescent="0.25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</row>
    <row r="3615" spans="1:37" ht="15.75" x14ac:dyDescent="0.25">
      <c r="A3615" s="7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</row>
    <row r="3616" spans="1:37" ht="15.75" x14ac:dyDescent="0.25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</row>
    <row r="3617" spans="1:37" ht="15.75" x14ac:dyDescent="0.25">
      <c r="A3617" s="7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</row>
    <row r="3618" spans="1:37" ht="15.75" x14ac:dyDescent="0.25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</row>
    <row r="3619" spans="1:37" ht="15.75" x14ac:dyDescent="0.25">
      <c r="A3619" s="7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</row>
    <row r="3620" spans="1:37" ht="15.75" x14ac:dyDescent="0.25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</row>
    <row r="3621" spans="1:37" ht="15.75" x14ac:dyDescent="0.25">
      <c r="A3621" s="7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</row>
    <row r="3622" spans="1:37" ht="15.75" x14ac:dyDescent="0.25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</row>
    <row r="3623" spans="1:37" ht="15.75" x14ac:dyDescent="0.25">
      <c r="A3623" s="7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</row>
    <row r="3624" spans="1:37" ht="15.75" x14ac:dyDescent="0.25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</row>
    <row r="3625" spans="1:37" ht="15.75" x14ac:dyDescent="0.25">
      <c r="A3625" s="7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</row>
    <row r="3626" spans="1:37" ht="15.75" x14ac:dyDescent="0.25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</row>
    <row r="3627" spans="1:37" ht="15.75" x14ac:dyDescent="0.25">
      <c r="A3627" s="7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</row>
    <row r="3628" spans="1:37" ht="15.75" x14ac:dyDescent="0.25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</row>
    <row r="3629" spans="1:37" ht="15.75" x14ac:dyDescent="0.25">
      <c r="A3629" s="7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</row>
    <row r="3630" spans="1:37" ht="15.75" x14ac:dyDescent="0.25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</row>
    <row r="3631" spans="1:37" ht="15.75" x14ac:dyDescent="0.25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</row>
    <row r="3632" spans="1:37" ht="15.75" x14ac:dyDescent="0.25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</row>
    <row r="3633" spans="1:37" ht="15.75" x14ac:dyDescent="0.25">
      <c r="A3633" s="7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</row>
    <row r="3634" spans="1:37" ht="15.75" x14ac:dyDescent="0.25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</row>
    <row r="3635" spans="1:37" ht="15.75" x14ac:dyDescent="0.25">
      <c r="A3635" s="7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</row>
    <row r="3636" spans="1:37" ht="15.75" x14ac:dyDescent="0.25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</row>
    <row r="3637" spans="1:37" ht="15.75" x14ac:dyDescent="0.25">
      <c r="A3637" s="7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</row>
    <row r="3638" spans="1:37" ht="15.75" x14ac:dyDescent="0.25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</row>
    <row r="3639" spans="1:37" ht="15.75" x14ac:dyDescent="0.25">
      <c r="A3639" s="7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</row>
    <row r="3640" spans="1:37" ht="15.75" x14ac:dyDescent="0.25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</row>
    <row r="3641" spans="1:37" ht="15.75" x14ac:dyDescent="0.25">
      <c r="A3641" s="7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</row>
    <row r="3642" spans="1:37" ht="15.75" x14ac:dyDescent="0.25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</row>
    <row r="3643" spans="1:37" ht="15.75" x14ac:dyDescent="0.25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</row>
    <row r="3644" spans="1:37" ht="15.75" x14ac:dyDescent="0.25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</row>
    <row r="3645" spans="1:37" ht="15.75" x14ac:dyDescent="0.25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</row>
    <row r="3646" spans="1:37" ht="15.75" x14ac:dyDescent="0.25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</row>
    <row r="3647" spans="1:37" ht="15.75" x14ac:dyDescent="0.25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</row>
    <row r="3648" spans="1:37" ht="15.75" x14ac:dyDescent="0.25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</row>
    <row r="3649" spans="1:37" ht="15.75" x14ac:dyDescent="0.25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</row>
    <row r="3650" spans="1:37" ht="15.75" x14ac:dyDescent="0.25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</row>
    <row r="3651" spans="1:37" ht="15.75" x14ac:dyDescent="0.25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</row>
    <row r="3652" spans="1:37" ht="15.75" x14ac:dyDescent="0.25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</row>
    <row r="3653" spans="1:37" ht="15.75" x14ac:dyDescent="0.25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</row>
    <row r="3654" spans="1:37" ht="15.75" x14ac:dyDescent="0.25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</row>
    <row r="3655" spans="1:37" ht="15.75" x14ac:dyDescent="0.25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</row>
    <row r="3656" spans="1:37" ht="15.75" x14ac:dyDescent="0.25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</row>
    <row r="3657" spans="1:37" ht="15.75" x14ac:dyDescent="0.25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</row>
    <row r="3658" spans="1:37" ht="15.75" x14ac:dyDescent="0.25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</row>
    <row r="3659" spans="1:37" ht="15.75" x14ac:dyDescent="0.25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</row>
    <row r="3660" spans="1:37" ht="15.75" x14ac:dyDescent="0.25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</row>
    <row r="3661" spans="1:37" ht="15.75" x14ac:dyDescent="0.25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</row>
    <row r="3662" spans="1:37" ht="15.75" x14ac:dyDescent="0.25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</row>
    <row r="3663" spans="1:37" ht="15.75" x14ac:dyDescent="0.25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</row>
    <row r="3664" spans="1:37" ht="15.75" x14ac:dyDescent="0.25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</row>
    <row r="3665" spans="1:37" ht="15.75" x14ac:dyDescent="0.25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</row>
    <row r="3666" spans="1:37" ht="15.75" x14ac:dyDescent="0.25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</row>
    <row r="3667" spans="1:37" ht="15.75" x14ac:dyDescent="0.25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</row>
    <row r="3668" spans="1:37" ht="15.75" x14ac:dyDescent="0.25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</row>
    <row r="3669" spans="1:37" ht="15.75" x14ac:dyDescent="0.25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</row>
    <row r="3670" spans="1:37" ht="15.75" x14ac:dyDescent="0.25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</row>
    <row r="3671" spans="1:37" ht="15.75" x14ac:dyDescent="0.25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</row>
    <row r="3672" spans="1:37" ht="15.75" x14ac:dyDescent="0.25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</row>
    <row r="3673" spans="1:37" ht="15.75" x14ac:dyDescent="0.25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</row>
    <row r="3674" spans="1:37" ht="15.75" x14ac:dyDescent="0.25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</row>
    <row r="3675" spans="1:37" ht="15.75" x14ac:dyDescent="0.25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</row>
    <row r="3676" spans="1:37" ht="15.75" x14ac:dyDescent="0.25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</row>
    <row r="3677" spans="1:37" ht="15.75" x14ac:dyDescent="0.25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</row>
    <row r="3678" spans="1:37" ht="15.75" x14ac:dyDescent="0.25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</row>
    <row r="3679" spans="1:37" ht="15.75" x14ac:dyDescent="0.25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</row>
    <row r="3680" spans="1:37" ht="15.75" x14ac:dyDescent="0.25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</row>
    <row r="3681" spans="1:37" ht="15.75" x14ac:dyDescent="0.25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</row>
    <row r="3682" spans="1:37" ht="15.75" x14ac:dyDescent="0.25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</row>
    <row r="3683" spans="1:37" ht="15.75" x14ac:dyDescent="0.25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</row>
    <row r="3684" spans="1:37" ht="15.75" x14ac:dyDescent="0.25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</row>
    <row r="3685" spans="1:37" ht="15.75" x14ac:dyDescent="0.25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</row>
    <row r="3686" spans="1:37" ht="15.75" x14ac:dyDescent="0.25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</row>
    <row r="3687" spans="1:37" ht="15.75" x14ac:dyDescent="0.25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</row>
    <row r="3688" spans="1:37" ht="15.75" x14ac:dyDescent="0.25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</row>
    <row r="3689" spans="1:37" ht="15.75" x14ac:dyDescent="0.25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</row>
    <row r="3690" spans="1:37" ht="15.75" x14ac:dyDescent="0.25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</row>
    <row r="3691" spans="1:37" ht="15.75" x14ac:dyDescent="0.25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</row>
    <row r="3692" spans="1:37" ht="15.75" x14ac:dyDescent="0.25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</row>
    <row r="3693" spans="1:37" ht="15.75" x14ac:dyDescent="0.25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</row>
    <row r="3694" spans="1:37" ht="15.75" x14ac:dyDescent="0.25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</row>
    <row r="3695" spans="1:37" ht="15.75" x14ac:dyDescent="0.25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</row>
    <row r="3696" spans="1:37" ht="15.75" x14ac:dyDescent="0.25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</row>
    <row r="3697" spans="1:37" ht="15.75" x14ac:dyDescent="0.25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</row>
    <row r="3698" spans="1:37" ht="15.75" x14ac:dyDescent="0.25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</row>
    <row r="3699" spans="1:37" ht="15.75" x14ac:dyDescent="0.25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</row>
    <row r="3700" spans="1:37" ht="15.75" x14ac:dyDescent="0.25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</row>
    <row r="3701" spans="1:37" ht="15.75" x14ac:dyDescent="0.25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</row>
    <row r="3702" spans="1:37" ht="15.75" x14ac:dyDescent="0.25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</row>
    <row r="3703" spans="1:37" ht="15.75" x14ac:dyDescent="0.25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</row>
    <row r="3704" spans="1:37" ht="15.75" x14ac:dyDescent="0.25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</row>
    <row r="3705" spans="1:37" ht="15.75" x14ac:dyDescent="0.25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</row>
    <row r="3706" spans="1:37" ht="15.75" x14ac:dyDescent="0.25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</row>
    <row r="3707" spans="1:37" ht="15.75" x14ac:dyDescent="0.25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</row>
    <row r="3708" spans="1:37" ht="15.75" x14ac:dyDescent="0.25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</row>
    <row r="3709" spans="1:37" ht="15.75" x14ac:dyDescent="0.25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</row>
    <row r="3710" spans="1:37" ht="15.75" x14ac:dyDescent="0.25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</row>
    <row r="3711" spans="1:37" ht="15.75" x14ac:dyDescent="0.25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</row>
    <row r="3712" spans="1:37" ht="15.75" x14ac:dyDescent="0.25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</row>
    <row r="3713" spans="1:37" ht="15.75" x14ac:dyDescent="0.25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</row>
    <row r="3714" spans="1:37" ht="15.75" x14ac:dyDescent="0.25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</row>
    <row r="3715" spans="1:37" ht="15.75" x14ac:dyDescent="0.25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</row>
    <row r="3716" spans="1:37" ht="15.75" x14ac:dyDescent="0.25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</row>
    <row r="3717" spans="1:37" ht="15.75" x14ac:dyDescent="0.25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</row>
    <row r="3718" spans="1:37" ht="15.75" x14ac:dyDescent="0.25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</row>
    <row r="3719" spans="1:37" ht="15.75" x14ac:dyDescent="0.25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</row>
    <row r="3720" spans="1:37" ht="15.75" x14ac:dyDescent="0.25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</row>
    <row r="3721" spans="1:37" ht="15.75" x14ac:dyDescent="0.25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</row>
    <row r="3722" spans="1:37" ht="15.75" x14ac:dyDescent="0.25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</row>
    <row r="3723" spans="1:37" ht="15.75" x14ac:dyDescent="0.25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</row>
    <row r="3724" spans="1:37" ht="15.75" x14ac:dyDescent="0.25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</row>
    <row r="3725" spans="1:37" ht="15.75" x14ac:dyDescent="0.25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</row>
    <row r="3726" spans="1:37" ht="15.75" x14ac:dyDescent="0.25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</row>
    <row r="3727" spans="1:37" ht="15.75" x14ac:dyDescent="0.25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</row>
    <row r="3728" spans="1:37" ht="15.75" x14ac:dyDescent="0.25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</row>
    <row r="3729" spans="1:37" ht="15.75" x14ac:dyDescent="0.25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</row>
    <row r="3730" spans="1:37" ht="15.75" x14ac:dyDescent="0.25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</row>
    <row r="3731" spans="1:37" ht="15.75" x14ac:dyDescent="0.25">
      <c r="A3731" s="7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</row>
    <row r="3732" spans="1:37" ht="15.75" x14ac:dyDescent="0.25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</row>
    <row r="3733" spans="1:37" ht="15.75" x14ac:dyDescent="0.25">
      <c r="A3733" s="7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</row>
    <row r="3734" spans="1:37" ht="15.75" x14ac:dyDescent="0.25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</row>
    <row r="3735" spans="1:37" ht="15.75" x14ac:dyDescent="0.25">
      <c r="A3735" s="7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</row>
    <row r="3736" spans="1:37" ht="15.75" x14ac:dyDescent="0.25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</row>
    <row r="3737" spans="1:37" ht="15.75" x14ac:dyDescent="0.25">
      <c r="A3737" s="7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</row>
    <row r="3738" spans="1:37" ht="15.75" x14ac:dyDescent="0.25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</row>
    <row r="3739" spans="1:37" ht="15.75" x14ac:dyDescent="0.25">
      <c r="A3739" s="7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</row>
    <row r="3740" spans="1:37" ht="15.75" x14ac:dyDescent="0.25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</row>
    <row r="3741" spans="1:37" ht="15.75" x14ac:dyDescent="0.25">
      <c r="A3741" s="7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</row>
    <row r="3742" spans="1:37" ht="15.75" x14ac:dyDescent="0.25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</row>
    <row r="3743" spans="1:37" ht="15.75" x14ac:dyDescent="0.25">
      <c r="A3743" s="7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</row>
    <row r="3744" spans="1:37" ht="15.75" x14ac:dyDescent="0.25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</row>
    <row r="3745" spans="1:37" ht="15.75" x14ac:dyDescent="0.25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</row>
    <row r="3746" spans="1:37" ht="15.75" x14ac:dyDescent="0.25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</row>
    <row r="3747" spans="1:37" ht="15.75" x14ac:dyDescent="0.25">
      <c r="A3747" s="7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</row>
    <row r="3748" spans="1:37" ht="15.75" x14ac:dyDescent="0.25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</row>
    <row r="3749" spans="1:37" ht="15.75" x14ac:dyDescent="0.25">
      <c r="A3749" s="7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</row>
    <row r="3750" spans="1:37" ht="15.75" x14ac:dyDescent="0.25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</row>
    <row r="3751" spans="1:37" ht="15.75" x14ac:dyDescent="0.25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</row>
    <row r="3752" spans="1:37" ht="15.75" x14ac:dyDescent="0.25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</row>
    <row r="3753" spans="1:37" ht="15.75" x14ac:dyDescent="0.25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</row>
    <row r="3754" spans="1:37" ht="15.75" x14ac:dyDescent="0.25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</row>
    <row r="3755" spans="1:37" ht="15.75" x14ac:dyDescent="0.25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</row>
    <row r="3756" spans="1:37" ht="15.75" x14ac:dyDescent="0.25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</row>
    <row r="3757" spans="1:37" ht="15.75" x14ac:dyDescent="0.25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</row>
    <row r="3758" spans="1:37" ht="15.75" x14ac:dyDescent="0.25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</row>
    <row r="3759" spans="1:37" ht="15.75" x14ac:dyDescent="0.25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</row>
    <row r="3760" spans="1:37" ht="15.75" x14ac:dyDescent="0.25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</row>
    <row r="3761" spans="1:37" ht="15.75" x14ac:dyDescent="0.25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</row>
    <row r="3762" spans="1:37" ht="15.75" x14ac:dyDescent="0.25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</row>
    <row r="3763" spans="1:37" ht="15.75" x14ac:dyDescent="0.25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</row>
    <row r="3764" spans="1:37" ht="15.75" x14ac:dyDescent="0.25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</row>
    <row r="3765" spans="1:37" ht="15.75" x14ac:dyDescent="0.25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</row>
    <row r="3766" spans="1:37" ht="15.75" x14ac:dyDescent="0.25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</row>
    <row r="3767" spans="1:37" ht="15.75" x14ac:dyDescent="0.25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</row>
    <row r="3768" spans="1:37" ht="15.75" x14ac:dyDescent="0.25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</row>
    <row r="3769" spans="1:37" ht="15.75" x14ac:dyDescent="0.25">
      <c r="A3769" s="7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</row>
    <row r="3770" spans="1:37" ht="15.75" x14ac:dyDescent="0.25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</row>
    <row r="3771" spans="1:37" ht="15.75" x14ac:dyDescent="0.25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</row>
    <row r="3772" spans="1:37" ht="15.75" x14ac:dyDescent="0.25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</row>
    <row r="3773" spans="1:37" ht="15.75" x14ac:dyDescent="0.25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</row>
    <row r="3774" spans="1:37" ht="15.75" x14ac:dyDescent="0.25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</row>
    <row r="3775" spans="1:37" ht="15.75" x14ac:dyDescent="0.25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</row>
    <row r="3776" spans="1:37" ht="15.75" x14ac:dyDescent="0.25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</row>
    <row r="3777" spans="1:37" ht="15.75" x14ac:dyDescent="0.25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</row>
    <row r="3778" spans="1:37" ht="15.75" x14ac:dyDescent="0.25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</row>
    <row r="3779" spans="1:37" ht="15.75" x14ac:dyDescent="0.25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</row>
    <row r="3780" spans="1:37" ht="15.75" x14ac:dyDescent="0.25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</row>
    <row r="3781" spans="1:37" ht="15.75" x14ac:dyDescent="0.25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</row>
    <row r="3782" spans="1:37" ht="15.75" x14ac:dyDescent="0.25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</row>
    <row r="3783" spans="1:37" ht="15.75" x14ac:dyDescent="0.25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</row>
    <row r="3784" spans="1:37" ht="15.75" x14ac:dyDescent="0.25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</row>
    <row r="3785" spans="1:37" ht="15.75" x14ac:dyDescent="0.25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</row>
    <row r="3786" spans="1:37" ht="15.75" x14ac:dyDescent="0.25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</row>
    <row r="3787" spans="1:37" ht="15.75" x14ac:dyDescent="0.25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</row>
    <row r="3788" spans="1:37" ht="15.75" x14ac:dyDescent="0.25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</row>
    <row r="3789" spans="1:37" ht="15.75" x14ac:dyDescent="0.25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</row>
    <row r="3790" spans="1:37" ht="15.75" x14ac:dyDescent="0.25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</row>
    <row r="3791" spans="1:37" ht="15.75" x14ac:dyDescent="0.25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</row>
    <row r="3792" spans="1:37" ht="15.75" x14ac:dyDescent="0.25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</row>
    <row r="3793" spans="1:37" ht="15.75" x14ac:dyDescent="0.25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</row>
    <row r="3794" spans="1:37" ht="15.75" x14ac:dyDescent="0.25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</row>
    <row r="3795" spans="1:37" ht="15.75" x14ac:dyDescent="0.25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</row>
    <row r="3796" spans="1:37" ht="15.75" x14ac:dyDescent="0.25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</row>
    <row r="3797" spans="1:37" ht="15.75" x14ac:dyDescent="0.25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</row>
    <row r="3798" spans="1:37" ht="15.75" x14ac:dyDescent="0.25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</row>
    <row r="3799" spans="1:37" ht="15.75" x14ac:dyDescent="0.25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</row>
    <row r="3800" spans="1:37" ht="15.75" x14ac:dyDescent="0.25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</row>
    <row r="3801" spans="1:37" ht="15.75" x14ac:dyDescent="0.25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</row>
    <row r="3802" spans="1:37" ht="15.75" x14ac:dyDescent="0.25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</row>
    <row r="3803" spans="1:37" ht="15.75" x14ac:dyDescent="0.25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</row>
    <row r="3804" spans="1:37" ht="15.75" x14ac:dyDescent="0.25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</row>
    <row r="3805" spans="1:37" ht="15.75" x14ac:dyDescent="0.25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</row>
    <row r="3806" spans="1:37" ht="15.75" x14ac:dyDescent="0.25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</row>
    <row r="3807" spans="1:37" ht="15.75" x14ac:dyDescent="0.25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</row>
    <row r="3808" spans="1:37" ht="15.75" x14ac:dyDescent="0.25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</row>
    <row r="3809" spans="1:37" ht="15.75" x14ac:dyDescent="0.25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</row>
    <row r="3810" spans="1:37" ht="15.75" x14ac:dyDescent="0.25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</row>
    <row r="3811" spans="1:37" ht="15.75" x14ac:dyDescent="0.25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</row>
    <row r="3812" spans="1:37" ht="15.75" x14ac:dyDescent="0.25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</row>
    <row r="3813" spans="1:37" ht="15.75" x14ac:dyDescent="0.25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</row>
    <row r="3814" spans="1:37" ht="15.75" x14ac:dyDescent="0.25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</row>
    <row r="3815" spans="1:37" ht="15.75" x14ac:dyDescent="0.25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</row>
    <row r="3816" spans="1:37" ht="15.75" x14ac:dyDescent="0.25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</row>
    <row r="3817" spans="1:37" ht="15.75" x14ac:dyDescent="0.25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</row>
    <row r="3818" spans="1:37" ht="15.75" x14ac:dyDescent="0.25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</row>
    <row r="3819" spans="1:37" ht="15.75" x14ac:dyDescent="0.25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</row>
    <row r="3820" spans="1:37" ht="15.75" x14ac:dyDescent="0.25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</row>
    <row r="3821" spans="1:37" ht="15.75" x14ac:dyDescent="0.25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</row>
    <row r="3822" spans="1:37" ht="15.75" x14ac:dyDescent="0.25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</row>
    <row r="3823" spans="1:37" ht="15.75" x14ac:dyDescent="0.25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</row>
    <row r="3824" spans="1:37" ht="15.75" x14ac:dyDescent="0.25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</row>
    <row r="3825" spans="1:37" ht="15.75" x14ac:dyDescent="0.25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</row>
    <row r="3826" spans="1:37" ht="15.75" x14ac:dyDescent="0.25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</row>
    <row r="3827" spans="1:37" ht="15.75" x14ac:dyDescent="0.25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</row>
    <row r="3828" spans="1:37" ht="15.75" x14ac:dyDescent="0.25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</row>
    <row r="3829" spans="1:37" ht="15.75" x14ac:dyDescent="0.25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</row>
    <row r="3830" spans="1:37" ht="15.75" x14ac:dyDescent="0.25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</row>
    <row r="3831" spans="1:37" ht="15.75" x14ac:dyDescent="0.25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</row>
    <row r="3832" spans="1:37" ht="15.75" x14ac:dyDescent="0.25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</row>
    <row r="3833" spans="1:37" ht="15.75" x14ac:dyDescent="0.25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</row>
    <row r="3834" spans="1:37" ht="15.75" x14ac:dyDescent="0.25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</row>
    <row r="3835" spans="1:37" ht="15.75" x14ac:dyDescent="0.25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</row>
    <row r="3836" spans="1:37" ht="15.75" x14ac:dyDescent="0.25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</row>
    <row r="3837" spans="1:37" ht="15.75" x14ac:dyDescent="0.25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</row>
    <row r="3838" spans="1:37" ht="15.75" x14ac:dyDescent="0.25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</row>
    <row r="3839" spans="1:37" ht="15.75" x14ac:dyDescent="0.25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</row>
    <row r="3840" spans="1:37" ht="15.75" x14ac:dyDescent="0.25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</row>
    <row r="3841" spans="1:37" ht="15.75" x14ac:dyDescent="0.25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</row>
    <row r="3842" spans="1:37" ht="15.75" x14ac:dyDescent="0.25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</row>
    <row r="3843" spans="1:37" ht="15.75" x14ac:dyDescent="0.25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</row>
    <row r="3844" spans="1:37" ht="15.75" x14ac:dyDescent="0.25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</row>
    <row r="3845" spans="1:37" ht="15.75" x14ac:dyDescent="0.25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</row>
    <row r="3846" spans="1:37" ht="15.75" x14ac:dyDescent="0.25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</row>
    <row r="3847" spans="1:37" ht="15.75" x14ac:dyDescent="0.25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</row>
    <row r="3848" spans="1:37" ht="15.75" x14ac:dyDescent="0.25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</row>
    <row r="3849" spans="1:37" ht="15.75" x14ac:dyDescent="0.25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</row>
    <row r="3850" spans="1:37" ht="15.75" x14ac:dyDescent="0.25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</row>
    <row r="3851" spans="1:37" ht="15.75" x14ac:dyDescent="0.25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</row>
    <row r="3852" spans="1:37" ht="15.75" x14ac:dyDescent="0.25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</row>
    <row r="3853" spans="1:37" ht="15.75" x14ac:dyDescent="0.25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</row>
    <row r="3854" spans="1:37" ht="15.75" x14ac:dyDescent="0.25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</row>
    <row r="3855" spans="1:37" ht="15.75" x14ac:dyDescent="0.25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</row>
    <row r="3856" spans="1:37" ht="15.75" x14ac:dyDescent="0.25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</row>
    <row r="3857" spans="1:37" ht="15.75" x14ac:dyDescent="0.25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</row>
    <row r="3858" spans="1:37" ht="15.75" x14ac:dyDescent="0.25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</row>
    <row r="3859" spans="1:37" ht="15.75" x14ac:dyDescent="0.25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</row>
    <row r="3860" spans="1:37" ht="15.75" x14ac:dyDescent="0.25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</row>
    <row r="3861" spans="1:37" ht="15.75" x14ac:dyDescent="0.25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</row>
    <row r="3862" spans="1:37" ht="15.75" x14ac:dyDescent="0.25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</row>
    <row r="3863" spans="1:37" ht="15.75" x14ac:dyDescent="0.25">
      <c r="A3863" s="7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</row>
    <row r="3864" spans="1:37" ht="15.75" x14ac:dyDescent="0.25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</row>
    <row r="3865" spans="1:37" ht="15.75" x14ac:dyDescent="0.25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</row>
    <row r="3866" spans="1:37" ht="15.75" x14ac:dyDescent="0.25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</row>
    <row r="3867" spans="1:37" ht="15.75" x14ac:dyDescent="0.25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</row>
    <row r="3868" spans="1:37" ht="15.75" x14ac:dyDescent="0.25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</row>
    <row r="3869" spans="1:37" ht="15.75" x14ac:dyDescent="0.25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</row>
    <row r="3870" spans="1:37" ht="15.75" x14ac:dyDescent="0.25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</row>
    <row r="3871" spans="1:37" ht="15.75" x14ac:dyDescent="0.25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</row>
    <row r="3872" spans="1:37" ht="15.75" x14ac:dyDescent="0.25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</row>
    <row r="3873" spans="1:37" ht="15.75" x14ac:dyDescent="0.25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</row>
    <row r="3874" spans="1:37" ht="15.75" x14ac:dyDescent="0.25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</row>
    <row r="3875" spans="1:37" ht="15.75" x14ac:dyDescent="0.25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</row>
    <row r="3876" spans="1:37" ht="15.75" x14ac:dyDescent="0.25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</row>
    <row r="3877" spans="1:37" ht="15.75" x14ac:dyDescent="0.25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</row>
    <row r="3878" spans="1:37" ht="15.75" x14ac:dyDescent="0.25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</row>
    <row r="3879" spans="1:37" ht="15.75" x14ac:dyDescent="0.25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</row>
    <row r="3880" spans="1:37" ht="15.75" x14ac:dyDescent="0.25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</row>
    <row r="3881" spans="1:37" ht="15.75" x14ac:dyDescent="0.25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</row>
    <row r="3882" spans="1:37" ht="15.75" x14ac:dyDescent="0.25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</row>
    <row r="3883" spans="1:37" ht="15.75" x14ac:dyDescent="0.25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</row>
    <row r="3884" spans="1:37" ht="15.75" x14ac:dyDescent="0.25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</row>
    <row r="3885" spans="1:37" ht="15.75" x14ac:dyDescent="0.25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</row>
    <row r="3886" spans="1:37" ht="15.75" x14ac:dyDescent="0.25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</row>
    <row r="3887" spans="1:37" ht="15.75" x14ac:dyDescent="0.25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</row>
    <row r="3888" spans="1:37" ht="15.75" x14ac:dyDescent="0.25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</row>
    <row r="3889" spans="1:37" ht="15.75" x14ac:dyDescent="0.25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</row>
    <row r="3890" spans="1:37" ht="15.75" x14ac:dyDescent="0.25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</row>
    <row r="3891" spans="1:37" ht="15.75" x14ac:dyDescent="0.25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</row>
    <row r="3892" spans="1:37" ht="15.75" x14ac:dyDescent="0.25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</row>
    <row r="3893" spans="1:37" ht="15.75" x14ac:dyDescent="0.25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</row>
    <row r="3894" spans="1:37" ht="15.75" x14ac:dyDescent="0.25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</row>
    <row r="3895" spans="1:37" ht="15.75" x14ac:dyDescent="0.25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</row>
    <row r="3896" spans="1:37" ht="15.75" x14ac:dyDescent="0.25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</row>
    <row r="3897" spans="1:37" ht="15.75" x14ac:dyDescent="0.25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</row>
    <row r="3898" spans="1:37" ht="15.75" x14ac:dyDescent="0.25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</row>
    <row r="3899" spans="1:37" ht="15.75" x14ac:dyDescent="0.25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</row>
    <row r="3900" spans="1:37" ht="15.75" x14ac:dyDescent="0.25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</row>
    <row r="3901" spans="1:37" ht="15.75" x14ac:dyDescent="0.25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</row>
    <row r="3902" spans="1:37" ht="15.75" x14ac:dyDescent="0.25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</row>
    <row r="3903" spans="1:37" ht="15.75" x14ac:dyDescent="0.25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</row>
    <row r="3904" spans="1:37" ht="15.75" x14ac:dyDescent="0.25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</row>
    <row r="3905" spans="1:37" ht="15.75" x14ac:dyDescent="0.25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</row>
    <row r="3906" spans="1:37" ht="15.75" x14ac:dyDescent="0.25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</row>
    <row r="3907" spans="1:37" ht="15.75" x14ac:dyDescent="0.25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</row>
    <row r="3908" spans="1:37" ht="15.75" x14ac:dyDescent="0.25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</row>
    <row r="3909" spans="1:37" ht="15.75" x14ac:dyDescent="0.25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</row>
    <row r="3910" spans="1:37" ht="15.75" x14ac:dyDescent="0.25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</row>
    <row r="3911" spans="1:37" ht="15.75" x14ac:dyDescent="0.25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</row>
    <row r="3912" spans="1:37" ht="15.75" x14ac:dyDescent="0.25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</row>
    <row r="3913" spans="1:37" ht="15.75" x14ac:dyDescent="0.25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</row>
    <row r="3914" spans="1:37" ht="15.75" x14ac:dyDescent="0.25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</row>
    <row r="3915" spans="1:37" ht="15.75" x14ac:dyDescent="0.25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</row>
    <row r="3916" spans="1:37" ht="15.75" x14ac:dyDescent="0.25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</row>
    <row r="3917" spans="1:37" ht="15.75" x14ac:dyDescent="0.25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</row>
    <row r="3918" spans="1:37" ht="15.75" x14ac:dyDescent="0.25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</row>
    <row r="3919" spans="1:37" ht="15.75" x14ac:dyDescent="0.25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</row>
    <row r="3920" spans="1:37" ht="15.75" x14ac:dyDescent="0.25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</row>
    <row r="3921" spans="1:37" ht="15.75" x14ac:dyDescent="0.25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</row>
    <row r="3922" spans="1:37" ht="15.75" x14ac:dyDescent="0.25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</row>
    <row r="3923" spans="1:37" ht="15.75" x14ac:dyDescent="0.25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</row>
    <row r="3924" spans="1:37" ht="15.75" x14ac:dyDescent="0.25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</row>
    <row r="3925" spans="1:37" ht="15.75" x14ac:dyDescent="0.25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</row>
    <row r="3926" spans="1:37" ht="15.75" x14ac:dyDescent="0.25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</row>
    <row r="3927" spans="1:37" ht="15.75" x14ac:dyDescent="0.25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</row>
    <row r="3928" spans="1:37" ht="15.75" x14ac:dyDescent="0.25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</row>
    <row r="3929" spans="1:37" ht="15.75" x14ac:dyDescent="0.25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</row>
    <row r="3930" spans="1:37" ht="15.75" x14ac:dyDescent="0.25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</row>
    <row r="3931" spans="1:37" ht="15.75" x14ac:dyDescent="0.25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</row>
    <row r="3932" spans="1:37" ht="15.75" x14ac:dyDescent="0.25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</row>
    <row r="3933" spans="1:37" ht="15.75" x14ac:dyDescent="0.25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</row>
    <row r="3934" spans="1:37" ht="15.75" x14ac:dyDescent="0.25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</row>
    <row r="3935" spans="1:37" ht="15.75" x14ac:dyDescent="0.25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</row>
    <row r="3936" spans="1:37" ht="15.75" x14ac:dyDescent="0.25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</row>
    <row r="3937" spans="1:37" ht="15.75" x14ac:dyDescent="0.25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</row>
    <row r="3938" spans="1:37" ht="15.75" x14ac:dyDescent="0.25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</row>
    <row r="3939" spans="1:37" ht="15.75" x14ac:dyDescent="0.25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</row>
    <row r="3940" spans="1:37" ht="15.75" x14ac:dyDescent="0.25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</row>
    <row r="3941" spans="1:37" ht="15.75" x14ac:dyDescent="0.25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</row>
    <row r="3942" spans="1:37" ht="15.75" x14ac:dyDescent="0.25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</row>
    <row r="3943" spans="1:37" ht="15.75" x14ac:dyDescent="0.25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</row>
    <row r="3944" spans="1:37" ht="15.75" x14ac:dyDescent="0.25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</row>
    <row r="3945" spans="1:37" ht="15.75" x14ac:dyDescent="0.25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</row>
    <row r="3946" spans="1:37" ht="15.75" x14ac:dyDescent="0.25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</row>
    <row r="3947" spans="1:37" ht="15.75" x14ac:dyDescent="0.25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</row>
    <row r="3948" spans="1:37" ht="15.75" x14ac:dyDescent="0.25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</row>
    <row r="3949" spans="1:37" ht="15.75" x14ac:dyDescent="0.25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</row>
    <row r="3950" spans="1:37" ht="15.75" x14ac:dyDescent="0.25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</row>
    <row r="3951" spans="1:37" ht="15.75" x14ac:dyDescent="0.25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</row>
    <row r="3952" spans="1:37" ht="15.75" x14ac:dyDescent="0.25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</row>
    <row r="3953" spans="1:37" ht="15.75" x14ac:dyDescent="0.25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</row>
    <row r="3954" spans="1:37" ht="15.75" x14ac:dyDescent="0.25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</row>
    <row r="3955" spans="1:37" ht="15.75" x14ac:dyDescent="0.25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</row>
    <row r="3956" spans="1:37" ht="15.75" x14ac:dyDescent="0.25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</row>
    <row r="3957" spans="1:37" ht="15.75" x14ac:dyDescent="0.25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</row>
    <row r="3958" spans="1:37" ht="15.75" x14ac:dyDescent="0.25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</row>
    <row r="3959" spans="1:37" ht="15.75" x14ac:dyDescent="0.25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</row>
    <row r="3960" spans="1:37" ht="15.75" x14ac:dyDescent="0.25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</row>
    <row r="3961" spans="1:37" ht="15.75" x14ac:dyDescent="0.25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</row>
    <row r="3962" spans="1:37" ht="15.75" x14ac:dyDescent="0.25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</row>
    <row r="3963" spans="1:37" ht="15.75" x14ac:dyDescent="0.25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</row>
    <row r="3964" spans="1:37" ht="15.75" x14ac:dyDescent="0.25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</row>
    <row r="3965" spans="1:37" ht="15.75" x14ac:dyDescent="0.25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</row>
    <row r="3966" spans="1:37" ht="15.75" x14ac:dyDescent="0.25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</row>
    <row r="3967" spans="1:37" ht="15.75" x14ac:dyDescent="0.25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</row>
    <row r="3968" spans="1:37" ht="15.75" x14ac:dyDescent="0.25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</row>
    <row r="3969" spans="1:37" ht="15.75" x14ac:dyDescent="0.25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</row>
    <row r="3970" spans="1:37" ht="15.75" x14ac:dyDescent="0.25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</row>
    <row r="3971" spans="1:37" ht="15.75" x14ac:dyDescent="0.25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</row>
    <row r="3972" spans="1:37" ht="15.75" x14ac:dyDescent="0.25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</row>
    <row r="3973" spans="1:37" ht="15.75" x14ac:dyDescent="0.25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</row>
    <row r="3974" spans="1:37" ht="15.75" x14ac:dyDescent="0.25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</row>
    <row r="3975" spans="1:37" ht="15.75" x14ac:dyDescent="0.25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</row>
    <row r="3976" spans="1:37" ht="15.75" x14ac:dyDescent="0.25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</row>
    <row r="3977" spans="1:37" ht="15.75" x14ac:dyDescent="0.25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</row>
    <row r="3978" spans="1:37" ht="15.75" x14ac:dyDescent="0.25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</row>
    <row r="3979" spans="1:37" ht="15.75" x14ac:dyDescent="0.25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</row>
    <row r="3980" spans="1:37" ht="15.75" x14ac:dyDescent="0.25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</row>
    <row r="3981" spans="1:37" ht="15.75" x14ac:dyDescent="0.25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</row>
    <row r="3982" spans="1:37" ht="15.75" x14ac:dyDescent="0.25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</row>
    <row r="3983" spans="1:37" ht="15.75" x14ac:dyDescent="0.25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</row>
    <row r="3984" spans="1:37" ht="15.75" x14ac:dyDescent="0.25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</row>
    <row r="3985" spans="1:37" ht="15.75" x14ac:dyDescent="0.25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</row>
    <row r="3986" spans="1:37" ht="15.75" x14ac:dyDescent="0.25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</row>
    <row r="3987" spans="1:37" ht="15.75" x14ac:dyDescent="0.25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</row>
    <row r="3988" spans="1:37" ht="15.75" x14ac:dyDescent="0.25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</row>
    <row r="3989" spans="1:37" ht="15.75" x14ac:dyDescent="0.25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</row>
    <row r="3990" spans="1:37" ht="15.75" x14ac:dyDescent="0.25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</row>
    <row r="3991" spans="1:37" ht="15.75" x14ac:dyDescent="0.25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</row>
    <row r="3992" spans="1:37" ht="15.75" x14ac:dyDescent="0.25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</row>
    <row r="3993" spans="1:37" ht="15.75" x14ac:dyDescent="0.25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</row>
    <row r="3994" spans="1:37" ht="15.75" x14ac:dyDescent="0.25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</row>
    <row r="3995" spans="1:37" ht="15.75" x14ac:dyDescent="0.25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</row>
    <row r="3996" spans="1:37" ht="15.75" x14ac:dyDescent="0.25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</row>
    <row r="3997" spans="1:37" ht="15.75" x14ac:dyDescent="0.25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</row>
    <row r="3998" spans="1:37" ht="15.75" x14ac:dyDescent="0.25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</row>
    <row r="3999" spans="1:37" ht="15.75" x14ac:dyDescent="0.25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</row>
    <row r="4000" spans="1:37" ht="15.75" x14ac:dyDescent="0.25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</row>
    <row r="4001" spans="1:37" ht="15.75" x14ac:dyDescent="0.25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</row>
    <row r="4002" spans="1:37" ht="15.75" x14ac:dyDescent="0.25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</row>
    <row r="4003" spans="1:37" ht="15.75" x14ac:dyDescent="0.25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</row>
    <row r="4004" spans="1:37" ht="15.75" x14ac:dyDescent="0.25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</row>
    <row r="4005" spans="1:37" ht="15.75" x14ac:dyDescent="0.25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</row>
    <row r="4006" spans="1:37" ht="15.75" x14ac:dyDescent="0.25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</row>
    <row r="4007" spans="1:37" ht="15.75" x14ac:dyDescent="0.25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</row>
    <row r="4008" spans="1:37" ht="15.75" x14ac:dyDescent="0.25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</row>
    <row r="4009" spans="1:37" ht="15.75" x14ac:dyDescent="0.25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</row>
    <row r="4010" spans="1:37" ht="15.75" x14ac:dyDescent="0.25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</row>
    <row r="4011" spans="1:37" ht="15.75" x14ac:dyDescent="0.25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</row>
    <row r="4012" spans="1:37" ht="15.75" x14ac:dyDescent="0.25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</row>
    <row r="4013" spans="1:37" ht="15.75" x14ac:dyDescent="0.25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</row>
    <row r="4014" spans="1:37" ht="15.75" x14ac:dyDescent="0.25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</row>
    <row r="4015" spans="1:37" ht="15.75" x14ac:dyDescent="0.25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</row>
    <row r="4016" spans="1:37" ht="15.75" x14ac:dyDescent="0.25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</row>
    <row r="4017" spans="1:37" ht="15.75" x14ac:dyDescent="0.25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</row>
    <row r="4018" spans="1:37" ht="15.75" x14ac:dyDescent="0.25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</row>
    <row r="4019" spans="1:37" ht="15.75" x14ac:dyDescent="0.25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</row>
    <row r="4020" spans="1:37" ht="15.75" x14ac:dyDescent="0.25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</row>
    <row r="4021" spans="1:37" ht="15.75" x14ac:dyDescent="0.25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</row>
    <row r="4022" spans="1:37" ht="15.75" x14ac:dyDescent="0.25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</row>
    <row r="4023" spans="1:37" ht="15.75" x14ac:dyDescent="0.25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</row>
    <row r="4024" spans="1:37" ht="15.75" x14ac:dyDescent="0.25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</row>
    <row r="4025" spans="1:37" ht="15.75" x14ac:dyDescent="0.25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</row>
    <row r="4026" spans="1:37" ht="15.75" x14ac:dyDescent="0.25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</row>
    <row r="4027" spans="1:37" ht="15.75" x14ac:dyDescent="0.25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</row>
    <row r="4028" spans="1:37" ht="15.75" x14ac:dyDescent="0.25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</row>
    <row r="4029" spans="1:37" ht="15.75" x14ac:dyDescent="0.25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</row>
    <row r="4030" spans="1:37" ht="15.75" x14ac:dyDescent="0.25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</row>
    <row r="4031" spans="1:37" ht="15.75" x14ac:dyDescent="0.25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</row>
    <row r="4032" spans="1:37" ht="15.75" x14ac:dyDescent="0.25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</row>
    <row r="4033" spans="1:37" ht="15.75" x14ac:dyDescent="0.25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</row>
    <row r="4034" spans="1:37" ht="15.75" x14ac:dyDescent="0.25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</row>
    <row r="4035" spans="1:37" ht="15.75" x14ac:dyDescent="0.25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</row>
    <row r="4036" spans="1:37" ht="15.75" x14ac:dyDescent="0.25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</row>
    <row r="4037" spans="1:37" ht="15.75" x14ac:dyDescent="0.25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</row>
    <row r="4038" spans="1:37" ht="15.75" x14ac:dyDescent="0.25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</row>
    <row r="4039" spans="1:37" ht="15.75" x14ac:dyDescent="0.25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</row>
    <row r="4040" spans="1:37" ht="15.75" x14ac:dyDescent="0.25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</row>
    <row r="4041" spans="1:37" ht="15.75" x14ac:dyDescent="0.25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</row>
    <row r="4042" spans="1:37" ht="15.75" x14ac:dyDescent="0.25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</row>
    <row r="4043" spans="1:37" ht="15.75" x14ac:dyDescent="0.25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</row>
    <row r="4044" spans="1:37" ht="15.75" x14ac:dyDescent="0.25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</row>
    <row r="4045" spans="1:37" ht="15.75" x14ac:dyDescent="0.25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</row>
    <row r="4046" spans="1:37" ht="15.75" x14ac:dyDescent="0.25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</row>
    <row r="4047" spans="1:37" ht="15.75" x14ac:dyDescent="0.25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</row>
    <row r="4048" spans="1:37" ht="15.75" x14ac:dyDescent="0.25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</row>
    <row r="4049" spans="1:37" ht="15.75" x14ac:dyDescent="0.25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</row>
    <row r="4050" spans="1:37" ht="15.75" x14ac:dyDescent="0.25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</row>
    <row r="4051" spans="1:37" ht="15.75" x14ac:dyDescent="0.25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</row>
    <row r="4052" spans="1:37" ht="15.75" x14ac:dyDescent="0.25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</row>
    <row r="4053" spans="1:37" ht="15.75" x14ac:dyDescent="0.25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</row>
    <row r="4054" spans="1:37" ht="15.75" x14ac:dyDescent="0.25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</row>
    <row r="4055" spans="1:37" ht="15.75" x14ac:dyDescent="0.25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</row>
    <row r="4056" spans="1:37" ht="15.75" x14ac:dyDescent="0.25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</row>
    <row r="4057" spans="1:37" ht="15.75" x14ac:dyDescent="0.25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</row>
    <row r="4058" spans="1:37" ht="15.75" x14ac:dyDescent="0.25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</row>
    <row r="4059" spans="1:37" ht="15.75" x14ac:dyDescent="0.25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</row>
    <row r="4060" spans="1:37" ht="15.75" x14ac:dyDescent="0.25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</row>
    <row r="4061" spans="1:37" ht="15.75" x14ac:dyDescent="0.25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</row>
    <row r="4062" spans="1:37" ht="15.75" x14ac:dyDescent="0.25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</row>
    <row r="4063" spans="1:37" ht="15.75" x14ac:dyDescent="0.25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</row>
    <row r="4064" spans="1:37" ht="15.75" x14ac:dyDescent="0.25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</row>
    <row r="4065" spans="1:37" ht="15.75" x14ac:dyDescent="0.25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</row>
    <row r="4066" spans="1:37" ht="15.75" x14ac:dyDescent="0.25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</row>
    <row r="4067" spans="1:37" ht="15.75" x14ac:dyDescent="0.25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</row>
    <row r="4068" spans="1:37" ht="15.75" x14ac:dyDescent="0.25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</row>
    <row r="4069" spans="1:37" ht="15.75" x14ac:dyDescent="0.25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</row>
    <row r="4070" spans="1:37" ht="15.75" x14ac:dyDescent="0.25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</row>
    <row r="4071" spans="1:37" ht="15.75" x14ac:dyDescent="0.25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</row>
    <row r="4072" spans="1:37" ht="15.75" x14ac:dyDescent="0.25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</row>
    <row r="4073" spans="1:37" ht="15.75" x14ac:dyDescent="0.25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</row>
    <row r="4074" spans="1:37" ht="15.75" x14ac:dyDescent="0.25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</row>
    <row r="4075" spans="1:37" ht="15.75" x14ac:dyDescent="0.25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</row>
    <row r="4076" spans="1:37" ht="15.75" x14ac:dyDescent="0.25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</row>
    <row r="4077" spans="1:37" ht="15.75" x14ac:dyDescent="0.25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</row>
    <row r="4078" spans="1:37" ht="15.75" x14ac:dyDescent="0.25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</row>
    <row r="4079" spans="1:37" ht="15.75" x14ac:dyDescent="0.25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</row>
    <row r="4080" spans="1:37" ht="15.75" x14ac:dyDescent="0.25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</row>
    <row r="4081" spans="1:37" ht="15.75" x14ac:dyDescent="0.25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</row>
    <row r="4082" spans="1:37" ht="15.75" x14ac:dyDescent="0.25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</row>
    <row r="4083" spans="1:37" ht="15.75" x14ac:dyDescent="0.25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</row>
    <row r="4084" spans="1:37" ht="15.75" x14ac:dyDescent="0.25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</row>
    <row r="4085" spans="1:37" ht="15.75" x14ac:dyDescent="0.25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</row>
    <row r="4086" spans="1:37" ht="15.75" x14ac:dyDescent="0.25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</row>
    <row r="4087" spans="1:37" ht="15.75" x14ac:dyDescent="0.25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</row>
    <row r="4088" spans="1:37" ht="15.75" x14ac:dyDescent="0.25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</row>
    <row r="4089" spans="1:37" ht="15.75" x14ac:dyDescent="0.25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</row>
    <row r="4090" spans="1:37" ht="15.75" x14ac:dyDescent="0.25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</row>
    <row r="4091" spans="1:37" ht="15.75" x14ac:dyDescent="0.25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</row>
    <row r="4092" spans="1:37" ht="15.75" x14ac:dyDescent="0.25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</row>
    <row r="4093" spans="1:37" ht="15.75" x14ac:dyDescent="0.25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</row>
    <row r="4094" spans="1:37" ht="15.75" x14ac:dyDescent="0.25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</row>
    <row r="4095" spans="1:37" ht="15.75" x14ac:dyDescent="0.25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</row>
    <row r="4096" spans="1:37" ht="15.75" x14ac:dyDescent="0.25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</row>
    <row r="4097" spans="1:37" ht="15.75" x14ac:dyDescent="0.25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</row>
    <row r="4098" spans="1:37" ht="15.75" x14ac:dyDescent="0.25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</row>
    <row r="4099" spans="1:37" ht="15.75" x14ac:dyDescent="0.25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</row>
    <row r="4100" spans="1:37" ht="15.75" x14ac:dyDescent="0.25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</row>
    <row r="4101" spans="1:37" ht="15.75" x14ac:dyDescent="0.25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</row>
    <row r="4102" spans="1:37" ht="15.75" x14ac:dyDescent="0.25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</row>
    <row r="4103" spans="1:37" ht="15.75" x14ac:dyDescent="0.25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</row>
    <row r="4104" spans="1:37" ht="15.75" x14ac:dyDescent="0.25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</row>
    <row r="4105" spans="1:37" ht="15.75" x14ac:dyDescent="0.25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</row>
    <row r="4106" spans="1:37" ht="15.75" x14ac:dyDescent="0.25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</row>
    <row r="4107" spans="1:37" ht="15.75" x14ac:dyDescent="0.25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</row>
    <row r="4108" spans="1:37" ht="15.75" x14ac:dyDescent="0.25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</row>
    <row r="4109" spans="1:37" ht="15.75" x14ac:dyDescent="0.25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</row>
    <row r="4110" spans="1:37" ht="15.75" x14ac:dyDescent="0.25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</row>
    <row r="4111" spans="1:37" ht="15.75" x14ac:dyDescent="0.25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</row>
    <row r="4112" spans="1:37" ht="15.75" x14ac:dyDescent="0.25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</row>
    <row r="4113" spans="1:37" ht="15.75" x14ac:dyDescent="0.25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</row>
    <row r="4114" spans="1:37" ht="15.75" x14ac:dyDescent="0.25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</row>
    <row r="4115" spans="1:37" ht="15.75" x14ac:dyDescent="0.25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</row>
    <row r="4116" spans="1:37" ht="15.75" x14ac:dyDescent="0.25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</row>
    <row r="4117" spans="1:37" ht="15.75" x14ac:dyDescent="0.25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</row>
    <row r="4118" spans="1:37" ht="15.75" x14ac:dyDescent="0.25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</row>
    <row r="4119" spans="1:37" ht="15.75" x14ac:dyDescent="0.25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</row>
    <row r="4120" spans="1:37" ht="15.75" x14ac:dyDescent="0.25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</row>
    <row r="4121" spans="1:37" ht="15.75" x14ac:dyDescent="0.25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</row>
    <row r="4122" spans="1:37" ht="15.75" x14ac:dyDescent="0.25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</row>
    <row r="4123" spans="1:37" ht="15.75" x14ac:dyDescent="0.25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</row>
    <row r="4124" spans="1:37" ht="15.75" x14ac:dyDescent="0.25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</row>
    <row r="4125" spans="1:37" ht="15.75" x14ac:dyDescent="0.25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</row>
    <row r="4126" spans="1:37" ht="15.75" x14ac:dyDescent="0.25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</row>
    <row r="4127" spans="1:37" ht="15.75" x14ac:dyDescent="0.25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</row>
    <row r="4128" spans="1:37" ht="15.75" x14ac:dyDescent="0.25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</row>
    <row r="4129" spans="1:37" ht="15.75" x14ac:dyDescent="0.25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</row>
    <row r="4130" spans="1:37" ht="15.75" x14ac:dyDescent="0.25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</row>
    <row r="4131" spans="1:37" ht="15.75" x14ac:dyDescent="0.25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</row>
    <row r="4132" spans="1:37" ht="15.75" x14ac:dyDescent="0.25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</row>
    <row r="4133" spans="1:37" ht="15.75" x14ac:dyDescent="0.25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</row>
    <row r="4134" spans="1:37" ht="15.75" x14ac:dyDescent="0.25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</row>
    <row r="4135" spans="1:37" ht="15.75" x14ac:dyDescent="0.25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</row>
    <row r="4136" spans="1:37" ht="15.75" x14ac:dyDescent="0.25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</row>
    <row r="4137" spans="1:37" ht="15.75" x14ac:dyDescent="0.25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</row>
    <row r="4138" spans="1:37" ht="15.75" x14ac:dyDescent="0.25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</row>
    <row r="4139" spans="1:37" ht="15.75" x14ac:dyDescent="0.25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</row>
    <row r="4140" spans="1:37" ht="15.75" x14ac:dyDescent="0.25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</row>
    <row r="4141" spans="1:37" ht="15.75" x14ac:dyDescent="0.25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</row>
    <row r="4142" spans="1:37" ht="15.75" x14ac:dyDescent="0.25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</row>
    <row r="4143" spans="1:37" ht="15.75" x14ac:dyDescent="0.25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</row>
    <row r="4144" spans="1:37" ht="15.75" x14ac:dyDescent="0.25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</row>
    <row r="4145" spans="1:37" ht="15.75" x14ac:dyDescent="0.25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</row>
    <row r="4146" spans="1:37" ht="15.75" x14ac:dyDescent="0.25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</row>
    <row r="4147" spans="1:37" ht="15.75" x14ac:dyDescent="0.25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</row>
    <row r="4148" spans="1:37" ht="15.75" x14ac:dyDescent="0.25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</row>
    <row r="4149" spans="1:37" ht="15.75" x14ac:dyDescent="0.25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</row>
    <row r="4150" spans="1:37" ht="15.75" x14ac:dyDescent="0.25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</row>
    <row r="4151" spans="1:37" ht="15.75" x14ac:dyDescent="0.25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</row>
    <row r="4152" spans="1:37" ht="15.75" x14ac:dyDescent="0.25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</row>
    <row r="4153" spans="1:37" ht="15.75" x14ac:dyDescent="0.25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</row>
    <row r="4154" spans="1:37" ht="15.75" x14ac:dyDescent="0.25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</row>
    <row r="4155" spans="1:37" ht="15.75" x14ac:dyDescent="0.25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</row>
    <row r="4156" spans="1:37" ht="15.75" x14ac:dyDescent="0.25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</row>
    <row r="4157" spans="1:37" ht="15.75" x14ac:dyDescent="0.25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</row>
    <row r="4158" spans="1:37" ht="15.75" x14ac:dyDescent="0.25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</row>
    <row r="4159" spans="1:37" ht="15.75" x14ac:dyDescent="0.25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</row>
    <row r="4160" spans="1:37" ht="15.75" x14ac:dyDescent="0.25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</row>
    <row r="4161" spans="1:37" ht="15.75" x14ac:dyDescent="0.25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</row>
    <row r="4162" spans="1:37" ht="15.75" x14ac:dyDescent="0.25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</row>
    <row r="4163" spans="1:37" ht="15.75" x14ac:dyDescent="0.25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</row>
    <row r="4164" spans="1:37" ht="15.75" x14ac:dyDescent="0.25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</row>
    <row r="4165" spans="1:37" ht="15.75" x14ac:dyDescent="0.25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</row>
    <row r="4166" spans="1:37" ht="15.75" x14ac:dyDescent="0.25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</row>
    <row r="4167" spans="1:37" ht="15.75" x14ac:dyDescent="0.25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</row>
    <row r="4168" spans="1:37" ht="15.75" x14ac:dyDescent="0.25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</row>
    <row r="4169" spans="1:37" ht="15.75" x14ac:dyDescent="0.25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</row>
    <row r="4170" spans="1:37" ht="15.75" x14ac:dyDescent="0.25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</row>
    <row r="4171" spans="1:37" ht="15.75" x14ac:dyDescent="0.25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</row>
    <row r="4172" spans="1:37" ht="15.75" x14ac:dyDescent="0.25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</row>
    <row r="4173" spans="1:37" ht="15.75" x14ac:dyDescent="0.25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</row>
    <row r="4174" spans="1:37" ht="15.75" x14ac:dyDescent="0.25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</row>
    <row r="4175" spans="1:37" ht="15.75" x14ac:dyDescent="0.25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</row>
    <row r="4176" spans="1:37" ht="15.75" x14ac:dyDescent="0.25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</row>
    <row r="4177" spans="1:37" ht="15.75" x14ac:dyDescent="0.25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</row>
    <row r="4178" spans="1:37" ht="15.75" x14ac:dyDescent="0.25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</row>
    <row r="4179" spans="1:37" ht="15.75" x14ac:dyDescent="0.25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</row>
    <row r="4180" spans="1:37" ht="15.75" x14ac:dyDescent="0.25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</row>
    <row r="4181" spans="1:37" ht="15.75" x14ac:dyDescent="0.25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</row>
    <row r="4182" spans="1:37" ht="15.75" x14ac:dyDescent="0.25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</row>
    <row r="4183" spans="1:37" ht="15.75" x14ac:dyDescent="0.25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</row>
    <row r="4184" spans="1:37" ht="15.75" x14ac:dyDescent="0.25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</row>
    <row r="4185" spans="1:37" ht="15.75" x14ac:dyDescent="0.25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</row>
    <row r="4186" spans="1:37" ht="15.75" x14ac:dyDescent="0.25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</row>
    <row r="4187" spans="1:37" ht="15.75" x14ac:dyDescent="0.25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</row>
    <row r="4188" spans="1:37" ht="15.75" x14ac:dyDescent="0.25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</row>
    <row r="4189" spans="1:37" ht="15.75" x14ac:dyDescent="0.25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</row>
    <row r="4190" spans="1:37" ht="15.75" x14ac:dyDescent="0.25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</row>
    <row r="4191" spans="1:37" ht="15.75" x14ac:dyDescent="0.25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</row>
    <row r="4192" spans="1:37" ht="15.75" x14ac:dyDescent="0.25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</row>
    <row r="4193" spans="1:37" ht="15.75" x14ac:dyDescent="0.25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</row>
    <row r="4194" spans="1:37" ht="15.75" x14ac:dyDescent="0.25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</row>
    <row r="4195" spans="1:37" ht="15.75" x14ac:dyDescent="0.25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</row>
    <row r="4196" spans="1:37" ht="15.75" x14ac:dyDescent="0.25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</row>
    <row r="4197" spans="1:37" ht="15.75" x14ac:dyDescent="0.25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</row>
    <row r="4198" spans="1:37" ht="15.75" x14ac:dyDescent="0.25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</row>
    <row r="4199" spans="1:37" ht="15.75" x14ac:dyDescent="0.25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</row>
    <row r="4200" spans="1:37" ht="15.75" x14ac:dyDescent="0.25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</row>
    <row r="4201" spans="1:37" ht="15.75" x14ac:dyDescent="0.25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</row>
    <row r="4202" spans="1:37" ht="15.75" x14ac:dyDescent="0.25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</row>
    <row r="4203" spans="1:37" ht="15.75" x14ac:dyDescent="0.25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</row>
    <row r="4204" spans="1:37" ht="15.75" x14ac:dyDescent="0.25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</row>
    <row r="4205" spans="1:37" ht="15.75" x14ac:dyDescent="0.25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</row>
    <row r="4206" spans="1:37" ht="15.75" x14ac:dyDescent="0.25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</row>
    <row r="4207" spans="1:37" ht="15.75" x14ac:dyDescent="0.25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</row>
    <row r="4208" spans="1:37" ht="15.75" x14ac:dyDescent="0.25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</row>
    <row r="4209" spans="1:37" ht="15.75" x14ac:dyDescent="0.25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</row>
    <row r="4210" spans="1:37" ht="15.75" x14ac:dyDescent="0.25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</row>
    <row r="4211" spans="1:37" ht="15.75" x14ac:dyDescent="0.25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</row>
    <row r="4212" spans="1:37" ht="15.75" x14ac:dyDescent="0.25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</row>
    <row r="4213" spans="1:37" ht="15.75" x14ac:dyDescent="0.25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</row>
    <row r="4214" spans="1:37" ht="15.75" x14ac:dyDescent="0.25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</row>
    <row r="4215" spans="1:37" ht="15.75" x14ac:dyDescent="0.25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</row>
    <row r="4216" spans="1:37" ht="15.75" x14ac:dyDescent="0.25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</row>
    <row r="4217" spans="1:37" ht="15.75" x14ac:dyDescent="0.25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</row>
    <row r="4218" spans="1:37" ht="15.75" x14ac:dyDescent="0.25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</row>
    <row r="4219" spans="1:37" ht="15.75" x14ac:dyDescent="0.25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</row>
    <row r="4220" spans="1:37" ht="15.75" x14ac:dyDescent="0.25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</row>
    <row r="4221" spans="1:37" ht="15.75" x14ac:dyDescent="0.25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</row>
    <row r="4222" spans="1:37" ht="15.75" x14ac:dyDescent="0.25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</row>
    <row r="4223" spans="1:37" ht="15.75" x14ac:dyDescent="0.25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</row>
    <row r="4224" spans="1:37" ht="15.75" x14ac:dyDescent="0.25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</row>
    <row r="4225" spans="1:37" ht="15.75" x14ac:dyDescent="0.25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</row>
    <row r="4226" spans="1:37" ht="15.75" x14ac:dyDescent="0.25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</row>
    <row r="4227" spans="1:37" ht="15.75" x14ac:dyDescent="0.25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</row>
    <row r="4228" spans="1:37" ht="15.75" x14ac:dyDescent="0.25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</row>
    <row r="4229" spans="1:37" ht="15.75" x14ac:dyDescent="0.25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</row>
    <row r="4230" spans="1:37" ht="15.75" x14ac:dyDescent="0.25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</row>
    <row r="4231" spans="1:37" ht="15.75" x14ac:dyDescent="0.25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</row>
    <row r="4232" spans="1:37" ht="15.75" x14ac:dyDescent="0.25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</row>
    <row r="4233" spans="1:37" ht="15.75" x14ac:dyDescent="0.25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</row>
    <row r="4234" spans="1:37" ht="15.75" x14ac:dyDescent="0.25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</row>
    <row r="4235" spans="1:37" ht="15.75" x14ac:dyDescent="0.25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</row>
    <row r="4236" spans="1:37" ht="15.75" x14ac:dyDescent="0.25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</row>
    <row r="4237" spans="1:37" ht="15.75" x14ac:dyDescent="0.25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</row>
    <row r="4238" spans="1:37" ht="15.75" x14ac:dyDescent="0.25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</row>
    <row r="4239" spans="1:37" ht="15.75" x14ac:dyDescent="0.25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</row>
    <row r="4240" spans="1:37" ht="15.75" x14ac:dyDescent="0.25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</row>
    <row r="4241" spans="1:37" ht="15.75" x14ac:dyDescent="0.25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</row>
    <row r="4242" spans="1:37" ht="15.75" x14ac:dyDescent="0.25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</row>
    <row r="4243" spans="1:37" ht="15.75" x14ac:dyDescent="0.25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</row>
    <row r="4244" spans="1:37" ht="15.75" x14ac:dyDescent="0.25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</row>
    <row r="4245" spans="1:37" ht="15.75" x14ac:dyDescent="0.25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</row>
    <row r="4246" spans="1:37" ht="15.75" x14ac:dyDescent="0.25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</row>
    <row r="4247" spans="1:37" ht="15.75" x14ac:dyDescent="0.25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</row>
    <row r="4248" spans="1:37" ht="15.75" x14ac:dyDescent="0.25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</row>
    <row r="4249" spans="1:37" ht="15.75" x14ac:dyDescent="0.25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</row>
    <row r="4250" spans="1:37" ht="15.75" x14ac:dyDescent="0.25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</row>
    <row r="4251" spans="1:37" ht="15.75" x14ac:dyDescent="0.25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</row>
    <row r="4252" spans="1:37" ht="15.75" x14ac:dyDescent="0.25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</row>
    <row r="4253" spans="1:37" ht="15.75" x14ac:dyDescent="0.25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</row>
    <row r="4254" spans="1:37" ht="15.75" x14ac:dyDescent="0.25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</row>
    <row r="4255" spans="1:37" ht="15.75" x14ac:dyDescent="0.25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</row>
    <row r="4256" spans="1:37" ht="15.75" x14ac:dyDescent="0.25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</row>
    <row r="4257" spans="1:37" ht="15.75" x14ac:dyDescent="0.25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</row>
    <row r="4258" spans="1:37" ht="15.75" x14ac:dyDescent="0.25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</row>
    <row r="4259" spans="1:37" ht="15.75" x14ac:dyDescent="0.25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</row>
    <row r="4260" spans="1:37" ht="15.75" x14ac:dyDescent="0.25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</row>
    <row r="4261" spans="1:37" ht="15.75" x14ac:dyDescent="0.25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</row>
    <row r="4262" spans="1:37" ht="15.75" x14ac:dyDescent="0.25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</row>
    <row r="4263" spans="1:37" ht="15.75" x14ac:dyDescent="0.25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</row>
    <row r="4264" spans="1:37" ht="15.75" x14ac:dyDescent="0.25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</row>
    <row r="4265" spans="1:37" ht="15.75" x14ac:dyDescent="0.25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</row>
    <row r="4266" spans="1:37" ht="15.75" x14ac:dyDescent="0.25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</row>
    <row r="4267" spans="1:37" ht="15.75" x14ac:dyDescent="0.25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</row>
    <row r="4268" spans="1:37" ht="15.75" x14ac:dyDescent="0.25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</row>
    <row r="4269" spans="1:37" ht="15.75" x14ac:dyDescent="0.25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</row>
    <row r="4270" spans="1:37" ht="15.75" x14ac:dyDescent="0.25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</row>
    <row r="4271" spans="1:37" ht="15.75" x14ac:dyDescent="0.25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</row>
    <row r="4272" spans="1:37" ht="15.75" x14ac:dyDescent="0.25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</row>
    <row r="4273" spans="1:37" ht="15.75" x14ac:dyDescent="0.25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</row>
    <row r="4274" spans="1:37" ht="15.75" x14ac:dyDescent="0.25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</row>
    <row r="4275" spans="1:37" ht="15.75" x14ac:dyDescent="0.25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</row>
    <row r="4276" spans="1:37" ht="15.75" x14ac:dyDescent="0.25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</row>
    <row r="4277" spans="1:37" ht="15.75" x14ac:dyDescent="0.25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</row>
    <row r="4278" spans="1:37" ht="15.75" x14ac:dyDescent="0.25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</row>
    <row r="4279" spans="1:37" ht="15.75" x14ac:dyDescent="0.25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</row>
    <row r="4280" spans="1:37" ht="15.75" x14ac:dyDescent="0.25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</row>
    <row r="4281" spans="1:37" ht="15.75" x14ac:dyDescent="0.25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</row>
    <row r="4282" spans="1:37" ht="15.75" x14ac:dyDescent="0.25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</row>
    <row r="4283" spans="1:37" ht="15.75" x14ac:dyDescent="0.25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</row>
    <row r="4284" spans="1:37" ht="15.75" x14ac:dyDescent="0.25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</row>
    <row r="4285" spans="1:37" ht="15.75" x14ac:dyDescent="0.25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</row>
    <row r="4286" spans="1:37" ht="15.75" x14ac:dyDescent="0.25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</row>
    <row r="4287" spans="1:37" ht="15.75" x14ac:dyDescent="0.25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</row>
    <row r="4288" spans="1:37" ht="15.75" x14ac:dyDescent="0.25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</row>
    <row r="4289" spans="1:37" ht="15.75" x14ac:dyDescent="0.25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</row>
    <row r="4290" spans="1:37" ht="15.75" x14ac:dyDescent="0.25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</row>
    <row r="4291" spans="1:37" ht="15.75" x14ac:dyDescent="0.25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</row>
    <row r="4292" spans="1:37" ht="15.75" x14ac:dyDescent="0.25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</row>
    <row r="4293" spans="1:37" ht="15.75" x14ac:dyDescent="0.25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</row>
    <row r="4294" spans="1:37" ht="15.75" x14ac:dyDescent="0.25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</row>
    <row r="4295" spans="1:37" ht="15.75" x14ac:dyDescent="0.25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</row>
    <row r="4296" spans="1:37" ht="15.75" x14ac:dyDescent="0.25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</row>
    <row r="4297" spans="1:37" ht="15.75" x14ac:dyDescent="0.25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</row>
    <row r="4298" spans="1:37" ht="15.75" x14ac:dyDescent="0.25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</row>
    <row r="4299" spans="1:37" ht="15.75" x14ac:dyDescent="0.25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</row>
    <row r="4300" spans="1:37" ht="15.75" x14ac:dyDescent="0.25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</row>
    <row r="4301" spans="1:37" ht="15.75" x14ac:dyDescent="0.25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</row>
    <row r="4302" spans="1:37" ht="15.75" x14ac:dyDescent="0.25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</row>
    <row r="4303" spans="1:37" ht="15.75" x14ac:dyDescent="0.25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</row>
    <row r="4304" spans="1:37" ht="15.75" x14ac:dyDescent="0.25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</row>
    <row r="4305" spans="1:37" ht="15.75" x14ac:dyDescent="0.25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</row>
    <row r="4306" spans="1:37" ht="15.75" x14ac:dyDescent="0.25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</row>
    <row r="4307" spans="1:37" ht="15.75" x14ac:dyDescent="0.25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</row>
    <row r="4308" spans="1:37" ht="15.75" x14ac:dyDescent="0.25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</row>
    <row r="4309" spans="1:37" ht="15.75" x14ac:dyDescent="0.25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</row>
    <row r="4310" spans="1:37" ht="15.75" x14ac:dyDescent="0.25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</row>
    <row r="4311" spans="1:37" ht="15.75" x14ac:dyDescent="0.25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</row>
    <row r="4312" spans="1:37" ht="15.75" x14ac:dyDescent="0.25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</row>
    <row r="4313" spans="1:37" ht="15.75" x14ac:dyDescent="0.25">
      <c r="A4313" s="7"/>
      <c r="B4313" s="7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</row>
    <row r="4314" spans="1:37" ht="15.75" x14ac:dyDescent="0.25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</row>
    <row r="4315" spans="1:37" ht="15.75" x14ac:dyDescent="0.25">
      <c r="A4315" s="7"/>
      <c r="B4315" s="7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</row>
    <row r="4316" spans="1:37" ht="15.75" x14ac:dyDescent="0.25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</row>
    <row r="4317" spans="1:37" ht="15.75" x14ac:dyDescent="0.25">
      <c r="A4317" s="7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</row>
    <row r="4318" spans="1:37" ht="15.75" x14ac:dyDescent="0.25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</row>
    <row r="4319" spans="1:37" ht="15.75" x14ac:dyDescent="0.25">
      <c r="A4319" s="7"/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</row>
    <row r="4320" spans="1:37" ht="15.75" x14ac:dyDescent="0.25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</row>
    <row r="4321" spans="1:37" ht="15.75" x14ac:dyDescent="0.25">
      <c r="A4321" s="7"/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</row>
    <row r="4322" spans="1:37" ht="15.75" x14ac:dyDescent="0.25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</row>
    <row r="4323" spans="1:37" ht="15.75" x14ac:dyDescent="0.25">
      <c r="A4323" s="7"/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</row>
    <row r="4324" spans="1:37" ht="15.75" x14ac:dyDescent="0.25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</row>
    <row r="4325" spans="1:37" ht="15.75" x14ac:dyDescent="0.25">
      <c r="A4325" s="7"/>
      <c r="B4325" s="7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</row>
    <row r="4326" spans="1:37" ht="15.75" x14ac:dyDescent="0.25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</row>
    <row r="4327" spans="1:37" ht="15.75" x14ac:dyDescent="0.25">
      <c r="A4327" s="7"/>
      <c r="B4327" s="7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</row>
    <row r="4328" spans="1:37" ht="15.75" x14ac:dyDescent="0.25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</row>
    <row r="4329" spans="1:37" ht="15.75" x14ac:dyDescent="0.25">
      <c r="A4329" s="7"/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</row>
    <row r="4330" spans="1:37" ht="15.75" x14ac:dyDescent="0.25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</row>
    <row r="4331" spans="1:37" ht="15.75" x14ac:dyDescent="0.25">
      <c r="A4331" s="7"/>
      <c r="B4331" s="7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</row>
    <row r="4332" spans="1:37" ht="15.75" x14ac:dyDescent="0.25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</row>
    <row r="4333" spans="1:37" ht="15.75" x14ac:dyDescent="0.25">
      <c r="A4333" s="7"/>
      <c r="B4333" s="7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</row>
    <row r="4334" spans="1:37" ht="15.75" x14ac:dyDescent="0.25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</row>
    <row r="4335" spans="1:37" ht="15.75" x14ac:dyDescent="0.25">
      <c r="A4335" s="7"/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</row>
    <row r="4336" spans="1:37" ht="15.75" x14ac:dyDescent="0.25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</row>
    <row r="4337" spans="1:37" ht="15.75" x14ac:dyDescent="0.25">
      <c r="A4337" s="7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</row>
    <row r="4338" spans="1:37" ht="15.75" x14ac:dyDescent="0.25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</row>
    <row r="4339" spans="1:37" ht="15.75" x14ac:dyDescent="0.25">
      <c r="A4339" s="7"/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</row>
    <row r="4340" spans="1:37" ht="15.75" x14ac:dyDescent="0.25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</row>
    <row r="4341" spans="1:37" ht="15.75" x14ac:dyDescent="0.25">
      <c r="A4341" s="7"/>
      <c r="B4341" s="7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</row>
    <row r="4342" spans="1:37" ht="15.75" x14ac:dyDescent="0.25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</row>
    <row r="4343" spans="1:37" ht="15.75" x14ac:dyDescent="0.25">
      <c r="A4343" s="7"/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</row>
    <row r="4344" spans="1:37" ht="15.75" x14ac:dyDescent="0.25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</row>
    <row r="4345" spans="1:37" ht="15.75" x14ac:dyDescent="0.25">
      <c r="A4345" s="7"/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</row>
    <row r="4346" spans="1:37" ht="15.75" x14ac:dyDescent="0.25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</row>
    <row r="4347" spans="1:37" ht="15.75" x14ac:dyDescent="0.25">
      <c r="A4347" s="7"/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</row>
    <row r="4348" spans="1:37" ht="15.75" x14ac:dyDescent="0.25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</row>
    <row r="4349" spans="1:37" ht="15.75" x14ac:dyDescent="0.25">
      <c r="A4349" s="7"/>
      <c r="B4349" s="7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</row>
    <row r="4350" spans="1:37" ht="15.75" x14ac:dyDescent="0.25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</row>
    <row r="4351" spans="1:37" ht="15.75" x14ac:dyDescent="0.25">
      <c r="A4351" s="7"/>
      <c r="B4351" s="7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</row>
    <row r="4352" spans="1:37" ht="15.75" x14ac:dyDescent="0.25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</row>
    <row r="4353" spans="1:37" ht="15.75" x14ac:dyDescent="0.25">
      <c r="A4353" s="7"/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</row>
    <row r="4354" spans="1:37" ht="15.75" x14ac:dyDescent="0.25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</row>
    <row r="4355" spans="1:37" ht="15.75" x14ac:dyDescent="0.25">
      <c r="A4355" s="7"/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</row>
    <row r="4356" spans="1:37" ht="15.75" x14ac:dyDescent="0.25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</row>
    <row r="4357" spans="1:37" ht="15.75" x14ac:dyDescent="0.25">
      <c r="A4357" s="7"/>
      <c r="B4357" s="7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</row>
    <row r="4358" spans="1:37" ht="15.75" x14ac:dyDescent="0.25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</row>
    <row r="4359" spans="1:37" ht="15.75" x14ac:dyDescent="0.25">
      <c r="A4359" s="7"/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</row>
    <row r="4360" spans="1:37" ht="15.75" x14ac:dyDescent="0.25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</row>
    <row r="4361" spans="1:37" ht="15.75" x14ac:dyDescent="0.25">
      <c r="A4361" s="7"/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</row>
    <row r="4362" spans="1:37" ht="15.75" x14ac:dyDescent="0.25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</row>
    <row r="4363" spans="1:37" ht="15.75" x14ac:dyDescent="0.25">
      <c r="A4363" s="7"/>
      <c r="B4363" s="7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</row>
    <row r="4364" spans="1:37" ht="15.75" x14ac:dyDescent="0.25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</row>
    <row r="4365" spans="1:37" ht="15.75" x14ac:dyDescent="0.25">
      <c r="A4365" s="7"/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</row>
    <row r="4366" spans="1:37" ht="15.75" x14ac:dyDescent="0.25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</row>
    <row r="4367" spans="1:37" ht="15.75" x14ac:dyDescent="0.25">
      <c r="A4367" s="7"/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</row>
    <row r="4368" spans="1:37" ht="15.75" x14ac:dyDescent="0.25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</row>
    <row r="4369" spans="1:37" ht="15.75" x14ac:dyDescent="0.25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</row>
    <row r="4370" spans="1:37" ht="15.75" x14ac:dyDescent="0.25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</row>
    <row r="4371" spans="1:37" ht="15.75" x14ac:dyDescent="0.25">
      <c r="A4371" s="7"/>
      <c r="B4371" s="7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</row>
    <row r="4372" spans="1:37" ht="15.75" x14ac:dyDescent="0.25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</row>
    <row r="4373" spans="1:37" ht="15.75" x14ac:dyDescent="0.25">
      <c r="A4373" s="7"/>
      <c r="B4373" s="7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</row>
    <row r="4374" spans="1:37" ht="15.75" x14ac:dyDescent="0.25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</row>
    <row r="4375" spans="1:37" ht="15.75" x14ac:dyDescent="0.25">
      <c r="A4375" s="7"/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</row>
    <row r="4376" spans="1:37" ht="15.75" x14ac:dyDescent="0.25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</row>
    <row r="4377" spans="1:37" ht="15.75" x14ac:dyDescent="0.25">
      <c r="A4377" s="7"/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</row>
    <row r="4378" spans="1:37" ht="15.75" x14ac:dyDescent="0.25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</row>
    <row r="4379" spans="1:37" ht="15.75" x14ac:dyDescent="0.25">
      <c r="A4379" s="7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</row>
    <row r="4380" spans="1:37" ht="15.75" x14ac:dyDescent="0.25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</row>
    <row r="4381" spans="1:37" ht="15.75" x14ac:dyDescent="0.25">
      <c r="A4381" s="7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</row>
    <row r="4382" spans="1:37" ht="15.75" x14ac:dyDescent="0.25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</row>
    <row r="4383" spans="1:37" ht="15.75" x14ac:dyDescent="0.25">
      <c r="A4383" s="7"/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</row>
    <row r="4384" spans="1:37" ht="15.75" x14ac:dyDescent="0.25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</row>
    <row r="4385" spans="1:37" ht="15.75" x14ac:dyDescent="0.25">
      <c r="A4385" s="7"/>
      <c r="B4385" s="7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</row>
    <row r="4386" spans="1:37" ht="15.75" x14ac:dyDescent="0.25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</row>
    <row r="4387" spans="1:37" ht="15.75" x14ac:dyDescent="0.25">
      <c r="A4387" s="7"/>
      <c r="B4387" s="7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</row>
    <row r="4388" spans="1:37" ht="15.75" x14ac:dyDescent="0.25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</row>
    <row r="4389" spans="1:37" ht="15.75" x14ac:dyDescent="0.25">
      <c r="A4389" s="7"/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</row>
    <row r="4390" spans="1:37" ht="15.75" x14ac:dyDescent="0.25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</row>
    <row r="4391" spans="1:37" ht="15.75" x14ac:dyDescent="0.25">
      <c r="A4391" s="7"/>
      <c r="B4391" s="7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</row>
    <row r="4392" spans="1:37" ht="15.75" x14ac:dyDescent="0.25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</row>
    <row r="4393" spans="1:37" ht="15.75" x14ac:dyDescent="0.25">
      <c r="A4393" s="7"/>
      <c r="B4393" s="7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</row>
    <row r="4394" spans="1:37" ht="15.75" x14ac:dyDescent="0.25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</row>
    <row r="4395" spans="1:37" ht="15.75" x14ac:dyDescent="0.25">
      <c r="A4395" s="7"/>
      <c r="B4395" s="7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</row>
    <row r="4396" spans="1:37" ht="15.75" x14ac:dyDescent="0.25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</row>
    <row r="4397" spans="1:37" ht="15.75" x14ac:dyDescent="0.25">
      <c r="A4397" s="7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</row>
    <row r="4398" spans="1:37" ht="15.75" x14ac:dyDescent="0.25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</row>
    <row r="4399" spans="1:37" ht="15.75" x14ac:dyDescent="0.25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</row>
    <row r="4400" spans="1:37" ht="15.75" x14ac:dyDescent="0.25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</row>
    <row r="4401" spans="1:37" ht="15.75" x14ac:dyDescent="0.25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</row>
    <row r="4402" spans="1:37" ht="15.75" x14ac:dyDescent="0.25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</row>
    <row r="4403" spans="1:37" ht="15.75" x14ac:dyDescent="0.25">
      <c r="A4403" s="7"/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</row>
    <row r="4404" spans="1:37" ht="15.75" x14ac:dyDescent="0.25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</row>
    <row r="4405" spans="1:37" ht="15.75" x14ac:dyDescent="0.25">
      <c r="A4405" s="7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</row>
    <row r="4406" spans="1:37" ht="15.75" x14ac:dyDescent="0.25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</row>
    <row r="4407" spans="1:37" ht="15.75" x14ac:dyDescent="0.25">
      <c r="A4407" s="7"/>
      <c r="B4407" s="7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</row>
    <row r="4408" spans="1:37" ht="15.75" x14ac:dyDescent="0.25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</row>
    <row r="4409" spans="1:37" ht="15.75" x14ac:dyDescent="0.25">
      <c r="A4409" s="7"/>
      <c r="B4409" s="7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</row>
    <row r="4410" spans="1:37" ht="15.75" x14ac:dyDescent="0.25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</row>
    <row r="4411" spans="1:37" ht="15.75" x14ac:dyDescent="0.25">
      <c r="A4411" s="7"/>
      <c r="B4411" s="7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</row>
    <row r="4412" spans="1:37" ht="15.75" x14ac:dyDescent="0.25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</row>
    <row r="4413" spans="1:37" ht="15.75" x14ac:dyDescent="0.25">
      <c r="A4413" s="7"/>
      <c r="B4413" s="7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</row>
    <row r="4414" spans="1:37" ht="15.75" x14ac:dyDescent="0.25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</row>
    <row r="4415" spans="1:37" ht="15.75" x14ac:dyDescent="0.25">
      <c r="A4415" s="7"/>
      <c r="B4415" s="7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</row>
    <row r="4416" spans="1:37" ht="15.75" x14ac:dyDescent="0.25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</row>
    <row r="4417" spans="1:37" ht="15.75" x14ac:dyDescent="0.25">
      <c r="A4417" s="7"/>
      <c r="B4417" s="7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</row>
    <row r="4418" spans="1:37" ht="15.75" x14ac:dyDescent="0.25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</row>
    <row r="4419" spans="1:37" ht="15.75" x14ac:dyDescent="0.25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</row>
    <row r="4420" spans="1:37" ht="15.75" x14ac:dyDescent="0.25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</row>
    <row r="4421" spans="1:37" ht="15.75" x14ac:dyDescent="0.25">
      <c r="A4421" s="7"/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</row>
    <row r="4422" spans="1:37" ht="15.75" x14ac:dyDescent="0.25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</row>
    <row r="4423" spans="1:37" ht="15.75" x14ac:dyDescent="0.25">
      <c r="A4423" s="7"/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</row>
    <row r="4424" spans="1:37" ht="15.75" x14ac:dyDescent="0.25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</row>
    <row r="4425" spans="1:37" ht="15.75" x14ac:dyDescent="0.25">
      <c r="A4425" s="7"/>
      <c r="B4425" s="7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</row>
    <row r="4426" spans="1:37" ht="15.75" x14ac:dyDescent="0.25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</row>
    <row r="4427" spans="1:37" ht="15.75" x14ac:dyDescent="0.25">
      <c r="A4427" s="7"/>
      <c r="B4427" s="7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</row>
    <row r="4428" spans="1:37" ht="15.75" x14ac:dyDescent="0.25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</row>
    <row r="4429" spans="1:37" ht="15.75" x14ac:dyDescent="0.25">
      <c r="A4429" s="7"/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</row>
    <row r="4430" spans="1:37" ht="15.75" x14ac:dyDescent="0.25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</row>
    <row r="4431" spans="1:37" ht="15.75" x14ac:dyDescent="0.25">
      <c r="A4431" s="7"/>
      <c r="B4431" s="7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</row>
    <row r="4432" spans="1:37" ht="15.75" x14ac:dyDescent="0.25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</row>
    <row r="4433" spans="1:16" ht="15.75" x14ac:dyDescent="0.25">
      <c r="A4433" s="7"/>
      <c r="B4433" s="7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</row>
    <row r="4434" spans="1:16" ht="15.75" x14ac:dyDescent="0.25">
      <c r="A4434" s="7"/>
      <c r="B4434" s="7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</row>
    <row r="4435" spans="1:16" ht="15.75" x14ac:dyDescent="0.25">
      <c r="A4435" s="7"/>
      <c r="B4435" s="7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</row>
    <row r="4436" spans="1:16" ht="15.75" x14ac:dyDescent="0.25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</row>
    <row r="4437" spans="1:16" ht="15.75" x14ac:dyDescent="0.25">
      <c r="A4437" s="7"/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</row>
    <row r="4438" spans="1:16" ht="15.75" x14ac:dyDescent="0.25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</row>
    <row r="4439" spans="1:16" ht="15.75" x14ac:dyDescent="0.25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</row>
    <row r="4440" spans="1:16" ht="15.75" x14ac:dyDescent="0.25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</row>
    <row r="4441" spans="1:16" ht="15.75" x14ac:dyDescent="0.25">
      <c r="A4441" s="7"/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</row>
    <row r="4442" spans="1:16" ht="15.75" x14ac:dyDescent="0.25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</row>
    <row r="4443" spans="1:16" ht="15.75" x14ac:dyDescent="0.25">
      <c r="A4443" s="7"/>
      <c r="B4443" s="7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</row>
    <row r="4444" spans="1:16" ht="15.75" x14ac:dyDescent="0.25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</row>
    <row r="4445" spans="1:16" ht="15.75" x14ac:dyDescent="0.25">
      <c r="A4445" s="7"/>
      <c r="B4445" s="7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</row>
    <row r="4446" spans="1:16" ht="15.75" x14ac:dyDescent="0.25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</row>
    <row r="4447" spans="1:16" ht="15.75" x14ac:dyDescent="0.25">
      <c r="A4447" s="7"/>
      <c r="B4447" s="7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  <c r="P4447" s="7"/>
    </row>
    <row r="4448" spans="1:16" ht="15.75" x14ac:dyDescent="0.25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</row>
    <row r="4449" spans="1:16" ht="15.75" x14ac:dyDescent="0.25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</row>
    <row r="4450" spans="1:16" ht="15.75" x14ac:dyDescent="0.25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</row>
    <row r="4451" spans="1:16" ht="15.75" x14ac:dyDescent="0.25">
      <c r="A4451" s="7"/>
      <c r="B4451" s="7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</row>
    <row r="4452" spans="1:16" ht="15.75" x14ac:dyDescent="0.25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</row>
    <row r="4453" spans="1:16" ht="15.75" x14ac:dyDescent="0.25">
      <c r="A4453" s="7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</row>
    <row r="4454" spans="1:16" ht="15.75" x14ac:dyDescent="0.25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</row>
    <row r="4455" spans="1:16" ht="15.75" x14ac:dyDescent="0.25">
      <c r="A4455" s="7"/>
      <c r="B4455" s="7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</row>
    <row r="4456" spans="1:16" ht="15.75" x14ac:dyDescent="0.25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</row>
    <row r="4457" spans="1:16" ht="15.75" x14ac:dyDescent="0.25">
      <c r="A4457" s="7"/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</row>
    <row r="4458" spans="1:16" ht="15.75" x14ac:dyDescent="0.25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</row>
    <row r="4459" spans="1:16" ht="15.75" x14ac:dyDescent="0.25">
      <c r="A4459" s="7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</row>
    <row r="4460" spans="1:16" ht="15.75" x14ac:dyDescent="0.25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</row>
    <row r="4461" spans="1:16" ht="15.75" x14ac:dyDescent="0.25">
      <c r="A4461" s="7"/>
      <c r="B4461" s="7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</row>
    <row r="4462" spans="1:16" ht="15.75" x14ac:dyDescent="0.25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</row>
    <row r="4463" spans="1:16" ht="15.75" x14ac:dyDescent="0.25">
      <c r="A4463" s="7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</row>
    <row r="4464" spans="1:16" ht="15.75" x14ac:dyDescent="0.25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</row>
    <row r="4465" spans="1:16" ht="15.75" x14ac:dyDescent="0.25">
      <c r="A4465" s="7"/>
      <c r="B4465" s="7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</row>
    <row r="4466" spans="1:16" ht="15.75" x14ac:dyDescent="0.25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</row>
    <row r="4467" spans="1:16" ht="15.75" x14ac:dyDescent="0.25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</row>
    <row r="4468" spans="1:16" ht="15.75" x14ac:dyDescent="0.25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</row>
    <row r="4469" spans="1:16" ht="15.75" x14ac:dyDescent="0.25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</row>
    <row r="4470" spans="1:16" ht="15.75" x14ac:dyDescent="0.25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</row>
    <row r="4471" spans="1:16" ht="15.75" x14ac:dyDescent="0.25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</row>
    <row r="4472" spans="1:16" ht="15.75" x14ac:dyDescent="0.25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</row>
    <row r="4473" spans="1:16" ht="15.75" x14ac:dyDescent="0.25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</row>
    <row r="4474" spans="1:16" ht="15.75" x14ac:dyDescent="0.25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</row>
    <row r="4475" spans="1:16" ht="15.75" x14ac:dyDescent="0.25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</row>
    <row r="4476" spans="1:16" ht="15.75" x14ac:dyDescent="0.25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</row>
    <row r="4477" spans="1:16" ht="15.75" x14ac:dyDescent="0.25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</row>
    <row r="4478" spans="1:16" ht="15.75" x14ac:dyDescent="0.25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</row>
    <row r="4479" spans="1:16" ht="15.75" x14ac:dyDescent="0.25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</row>
    <row r="4480" spans="1:16" ht="15.75" x14ac:dyDescent="0.25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</row>
    <row r="4481" spans="1:16" ht="15.75" x14ac:dyDescent="0.25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</row>
    <row r="4482" spans="1:16" ht="15.75" x14ac:dyDescent="0.25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</row>
    <row r="4483" spans="1:16" ht="15.75" x14ac:dyDescent="0.25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</row>
    <row r="4484" spans="1:16" ht="15.75" x14ac:dyDescent="0.25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</row>
    <row r="4485" spans="1:16" ht="15.75" x14ac:dyDescent="0.25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</row>
    <row r="4486" spans="1:16" ht="15.75" x14ac:dyDescent="0.25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</row>
    <row r="4487" spans="1:16" ht="15.75" x14ac:dyDescent="0.25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</row>
    <row r="4488" spans="1:16" ht="15.75" x14ac:dyDescent="0.25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</row>
    <row r="4489" spans="1:16" ht="15.75" x14ac:dyDescent="0.25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</row>
    <row r="4490" spans="1:16" ht="15.75" x14ac:dyDescent="0.25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</row>
    <row r="4491" spans="1:16" ht="15.75" x14ac:dyDescent="0.25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</row>
    <row r="4492" spans="1:16" ht="15.75" x14ac:dyDescent="0.25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</row>
    <row r="4493" spans="1:16" ht="15.75" x14ac:dyDescent="0.25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</row>
    <row r="4494" spans="1:16" ht="15.75" x14ac:dyDescent="0.25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</row>
    <row r="4495" spans="1:16" ht="15.75" x14ac:dyDescent="0.25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</row>
    <row r="4496" spans="1:16" ht="15.75" x14ac:dyDescent="0.25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</row>
    <row r="4497" spans="1:16" ht="15.75" x14ac:dyDescent="0.25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</row>
    <row r="4498" spans="1:16" ht="15.75" x14ac:dyDescent="0.25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</row>
    <row r="4499" spans="1:16" ht="15.75" x14ac:dyDescent="0.25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</row>
    <row r="4500" spans="1:16" ht="15.75" x14ac:dyDescent="0.25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</row>
    <row r="4501" spans="1:16" ht="15.75" x14ac:dyDescent="0.25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</row>
    <row r="4502" spans="1:16" ht="15.75" x14ac:dyDescent="0.25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</row>
    <row r="4503" spans="1:16" ht="15.75" x14ac:dyDescent="0.25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</row>
    <row r="4504" spans="1:16" ht="15.75" x14ac:dyDescent="0.25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</row>
    <row r="4505" spans="1:16" ht="15.75" x14ac:dyDescent="0.25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</row>
    <row r="4506" spans="1:16" ht="15.75" x14ac:dyDescent="0.25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</row>
    <row r="4507" spans="1:16" ht="15.75" x14ac:dyDescent="0.25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</row>
    <row r="4508" spans="1:16" ht="15.75" x14ac:dyDescent="0.25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</row>
    <row r="4509" spans="1:16" ht="15.75" x14ac:dyDescent="0.25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</row>
    <row r="4510" spans="1:16" ht="15.75" x14ac:dyDescent="0.25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</row>
    <row r="4511" spans="1:16" ht="15.75" x14ac:dyDescent="0.25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</row>
    <row r="4512" spans="1:16" ht="15.75" x14ac:dyDescent="0.25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</row>
    <row r="4513" spans="1:16" ht="15.75" x14ac:dyDescent="0.25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</row>
    <row r="4514" spans="1:16" ht="15.75" x14ac:dyDescent="0.25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</row>
    <row r="4515" spans="1:16" ht="15.75" x14ac:dyDescent="0.25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</row>
    <row r="4516" spans="1:16" ht="15.75" x14ac:dyDescent="0.25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</row>
    <row r="4517" spans="1:16" ht="15.75" x14ac:dyDescent="0.25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</row>
    <row r="4518" spans="1:16" ht="15.75" x14ac:dyDescent="0.25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</row>
    <row r="4519" spans="1:16" ht="15.75" x14ac:dyDescent="0.25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</row>
    <row r="4520" spans="1:16" ht="15.75" x14ac:dyDescent="0.25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</row>
    <row r="4521" spans="1:16" ht="15.75" x14ac:dyDescent="0.25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</row>
    <row r="4522" spans="1:16" ht="15.75" x14ac:dyDescent="0.25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</row>
    <row r="4523" spans="1:16" ht="15.75" x14ac:dyDescent="0.25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</row>
    <row r="4524" spans="1:16" ht="15.75" x14ac:dyDescent="0.25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</row>
    <row r="4525" spans="1:16" ht="15.75" x14ac:dyDescent="0.25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</row>
    <row r="4526" spans="1:16" ht="15.75" x14ac:dyDescent="0.25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</row>
    <row r="4527" spans="1:16" ht="15.75" x14ac:dyDescent="0.25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</row>
    <row r="4528" spans="1:16" ht="15.75" x14ac:dyDescent="0.25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</row>
    <row r="4529" spans="1:16" ht="15.75" x14ac:dyDescent="0.25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</row>
    <row r="4530" spans="1:16" ht="15.75" x14ac:dyDescent="0.25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</row>
    <row r="4531" spans="1:16" ht="15.75" x14ac:dyDescent="0.25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</row>
    <row r="4532" spans="1:16" ht="15.75" x14ac:dyDescent="0.25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</row>
    <row r="4533" spans="1:16" ht="15.75" x14ac:dyDescent="0.25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</row>
    <row r="4534" spans="1:16" ht="15.75" x14ac:dyDescent="0.25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</row>
    <row r="4535" spans="1:16" ht="15.75" x14ac:dyDescent="0.25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</row>
    <row r="4536" spans="1:16" ht="15.75" x14ac:dyDescent="0.25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</row>
    <row r="4537" spans="1:16" ht="15.75" x14ac:dyDescent="0.25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</row>
    <row r="4538" spans="1:16" ht="15.75" x14ac:dyDescent="0.25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</row>
    <row r="4539" spans="1:16" ht="15.75" x14ac:dyDescent="0.25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</row>
    <row r="4540" spans="1:16" ht="15.75" x14ac:dyDescent="0.25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</row>
    <row r="4541" spans="1:16" ht="15.75" x14ac:dyDescent="0.25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</row>
    <row r="4542" spans="1:16" ht="15.75" x14ac:dyDescent="0.25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</row>
    <row r="4543" spans="1:16" ht="15.75" x14ac:dyDescent="0.25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</row>
    <row r="4544" spans="1:16" ht="15.75" x14ac:dyDescent="0.25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</row>
    <row r="4545" spans="1:16" ht="15.75" x14ac:dyDescent="0.25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</row>
    <row r="4546" spans="1:16" ht="15.75" x14ac:dyDescent="0.25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</row>
    <row r="4547" spans="1:16" ht="15.75" x14ac:dyDescent="0.25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</row>
    <row r="4548" spans="1:16" ht="15.75" x14ac:dyDescent="0.25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</row>
    <row r="4549" spans="1:16" ht="15.75" x14ac:dyDescent="0.25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</row>
    <row r="4550" spans="1:16" ht="15.75" x14ac:dyDescent="0.25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</row>
    <row r="4551" spans="1:16" ht="15.75" x14ac:dyDescent="0.25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</row>
    <row r="4552" spans="1:16" ht="15.75" x14ac:dyDescent="0.25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</row>
    <row r="4553" spans="1:16" ht="15.75" x14ac:dyDescent="0.25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</row>
    <row r="4554" spans="1:16" ht="15.75" x14ac:dyDescent="0.25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</row>
    <row r="4555" spans="1:16" ht="15.75" x14ac:dyDescent="0.25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</row>
    <row r="4556" spans="1:16" ht="15.75" x14ac:dyDescent="0.25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</row>
    <row r="4557" spans="1:16" ht="15.75" x14ac:dyDescent="0.25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</row>
    <row r="4558" spans="1:16" ht="15.75" x14ac:dyDescent="0.25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</row>
    <row r="4559" spans="1:16" ht="15.75" x14ac:dyDescent="0.25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</row>
    <row r="4560" spans="1:16" ht="15.75" x14ac:dyDescent="0.25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</row>
    <row r="4561" spans="1:16" ht="15.75" x14ac:dyDescent="0.25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</row>
    <row r="4562" spans="1:16" ht="15.75" x14ac:dyDescent="0.25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</row>
    <row r="4563" spans="1:16" ht="15.75" x14ac:dyDescent="0.25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</row>
    <row r="4564" spans="1:16" ht="15.75" x14ac:dyDescent="0.25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</row>
    <row r="4565" spans="1:16" ht="15.75" x14ac:dyDescent="0.25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</row>
    <row r="4566" spans="1:16" ht="15.75" x14ac:dyDescent="0.25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</row>
    <row r="4567" spans="1:16" ht="15.75" x14ac:dyDescent="0.25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</row>
    <row r="4568" spans="1:16" ht="15.75" x14ac:dyDescent="0.25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</row>
    <row r="4569" spans="1:16" ht="15.75" x14ac:dyDescent="0.25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</row>
    <row r="4570" spans="1:16" ht="15.75" x14ac:dyDescent="0.25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</row>
    <row r="4571" spans="1:16" ht="15.75" x14ac:dyDescent="0.25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</row>
    <row r="4572" spans="1:16" ht="15.75" x14ac:dyDescent="0.25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</row>
    <row r="4573" spans="1:16" ht="15.75" x14ac:dyDescent="0.25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</row>
    <row r="4574" spans="1:16" ht="15.75" x14ac:dyDescent="0.25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</row>
    <row r="4575" spans="1:16" ht="15.75" x14ac:dyDescent="0.25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</row>
    <row r="4576" spans="1:16" ht="15.75" x14ac:dyDescent="0.25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</row>
    <row r="4577" spans="1:16" ht="15.75" x14ac:dyDescent="0.25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</row>
    <row r="4578" spans="1:16" ht="15.75" x14ac:dyDescent="0.25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</row>
    <row r="4579" spans="1:16" ht="15.75" x14ac:dyDescent="0.25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</row>
    <row r="4580" spans="1:16" ht="15.75" x14ac:dyDescent="0.25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</row>
    <row r="4581" spans="1:16" ht="15.75" x14ac:dyDescent="0.25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</row>
    <row r="4582" spans="1:16" ht="15.75" x14ac:dyDescent="0.25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</row>
    <row r="4583" spans="1:16" ht="15.75" x14ac:dyDescent="0.25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</row>
    <row r="4584" spans="1:16" ht="15.75" x14ac:dyDescent="0.25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</row>
    <row r="4585" spans="1:16" ht="15.75" x14ac:dyDescent="0.25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</row>
    <row r="4586" spans="1:16" ht="15.75" x14ac:dyDescent="0.25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</row>
    <row r="4587" spans="1:16" ht="15.75" x14ac:dyDescent="0.25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</row>
    <row r="4588" spans="1:16" ht="15.75" x14ac:dyDescent="0.25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</row>
    <row r="4589" spans="1:16" ht="15.75" x14ac:dyDescent="0.25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</row>
    <row r="4590" spans="1:16" ht="15.75" x14ac:dyDescent="0.25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</row>
    <row r="4591" spans="1:16" ht="15.75" x14ac:dyDescent="0.25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</row>
    <row r="4592" spans="1:16" ht="15.75" x14ac:dyDescent="0.25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</row>
    <row r="4593" spans="1:16" ht="15.75" x14ac:dyDescent="0.25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</row>
    <row r="4594" spans="1:16" ht="15.75" x14ac:dyDescent="0.25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</row>
    <row r="4595" spans="1:16" ht="15.75" x14ac:dyDescent="0.25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</row>
    <row r="4596" spans="1:16" ht="15.75" x14ac:dyDescent="0.25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</row>
    <row r="4597" spans="1:16" ht="15.75" x14ac:dyDescent="0.25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</row>
    <row r="4598" spans="1:16" ht="15.75" x14ac:dyDescent="0.25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</row>
    <row r="4599" spans="1:16" ht="15.75" x14ac:dyDescent="0.25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</row>
    <row r="4600" spans="1:16" ht="15.75" x14ac:dyDescent="0.25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</row>
    <row r="4601" spans="1:16" ht="15.75" x14ac:dyDescent="0.25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</row>
    <row r="4602" spans="1:16" ht="15.75" x14ac:dyDescent="0.25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</row>
    <row r="4603" spans="1:16" ht="15.75" x14ac:dyDescent="0.25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</row>
    <row r="4604" spans="1:16" ht="15.75" x14ac:dyDescent="0.25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</row>
    <row r="4605" spans="1:16" ht="15.75" x14ac:dyDescent="0.25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</row>
    <row r="4606" spans="1:16" ht="15.75" x14ac:dyDescent="0.25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</row>
    <row r="4607" spans="1:16" ht="15.75" x14ac:dyDescent="0.25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</row>
    <row r="4608" spans="1:16" ht="15.75" x14ac:dyDescent="0.25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</row>
    <row r="4609" spans="1:16" ht="15.75" x14ac:dyDescent="0.25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</row>
    <row r="4610" spans="1:16" ht="15.75" x14ac:dyDescent="0.25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</row>
    <row r="4611" spans="1:16" ht="15.75" x14ac:dyDescent="0.25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</row>
    <row r="4612" spans="1:16" ht="15.75" x14ac:dyDescent="0.25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</row>
    <row r="4613" spans="1:16" ht="15.75" x14ac:dyDescent="0.25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</row>
    <row r="4614" spans="1:16" ht="15.75" x14ac:dyDescent="0.25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</row>
    <row r="4615" spans="1:16" ht="15.75" x14ac:dyDescent="0.25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</row>
    <row r="4616" spans="1:16" ht="15.75" x14ac:dyDescent="0.25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</row>
    <row r="4617" spans="1:16" ht="15.75" x14ac:dyDescent="0.25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</row>
    <row r="4618" spans="1:16" ht="15.75" x14ac:dyDescent="0.25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</row>
    <row r="4619" spans="1:16" ht="15.75" x14ac:dyDescent="0.25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</row>
    <row r="4620" spans="1:16" ht="15.75" x14ac:dyDescent="0.25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</row>
    <row r="4621" spans="1:16" ht="15.75" x14ac:dyDescent="0.25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</row>
    <row r="4622" spans="1:16" ht="15.75" x14ac:dyDescent="0.25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</row>
    <row r="4623" spans="1:16" ht="15.75" x14ac:dyDescent="0.25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</row>
    <row r="4624" spans="1:16" ht="15.75" x14ac:dyDescent="0.25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</row>
    <row r="4625" spans="1:16" ht="15.75" x14ac:dyDescent="0.25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</row>
    <row r="4626" spans="1:16" ht="15.75" x14ac:dyDescent="0.25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</row>
    <row r="4627" spans="1:16" ht="15.75" x14ac:dyDescent="0.25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</row>
    <row r="4628" spans="1:16" ht="15.75" x14ac:dyDescent="0.25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</row>
    <row r="4629" spans="1:16" ht="15.75" x14ac:dyDescent="0.25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</row>
    <row r="4630" spans="1:16" ht="15.75" x14ac:dyDescent="0.25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</row>
    <row r="4631" spans="1:16" ht="15.75" x14ac:dyDescent="0.25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</row>
    <row r="4632" spans="1:16" ht="15.75" x14ac:dyDescent="0.25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</row>
    <row r="4633" spans="1:16" ht="15.75" x14ac:dyDescent="0.25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</row>
    <row r="4634" spans="1:16" ht="15.75" x14ac:dyDescent="0.25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</row>
    <row r="4635" spans="1:16" ht="15.75" x14ac:dyDescent="0.25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</row>
    <row r="4636" spans="1:16" ht="15.75" x14ac:dyDescent="0.25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</row>
    <row r="4637" spans="1:16" ht="15.75" x14ac:dyDescent="0.25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</row>
    <row r="4638" spans="1:16" ht="15.75" x14ac:dyDescent="0.25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</row>
    <row r="4639" spans="1:16" ht="15.75" x14ac:dyDescent="0.25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</row>
    <row r="4640" spans="1:16" ht="15.75" x14ac:dyDescent="0.25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</row>
    <row r="4641" spans="1:16" ht="15.75" x14ac:dyDescent="0.25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</row>
    <row r="4642" spans="1:16" ht="15.75" x14ac:dyDescent="0.25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</row>
    <row r="4643" spans="1:16" ht="15.75" x14ac:dyDescent="0.25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</row>
    <row r="4644" spans="1:16" ht="15.75" x14ac:dyDescent="0.25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</row>
    <row r="4645" spans="1:16" ht="15.75" x14ac:dyDescent="0.25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</row>
    <row r="4646" spans="1:16" ht="15.75" x14ac:dyDescent="0.25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</row>
    <row r="4647" spans="1:16" ht="15.75" x14ac:dyDescent="0.25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</row>
    <row r="4648" spans="1:16" ht="15.75" x14ac:dyDescent="0.25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</row>
    <row r="4649" spans="1:16" ht="15.75" x14ac:dyDescent="0.25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</row>
    <row r="4650" spans="1:16" ht="15.75" x14ac:dyDescent="0.25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</row>
    <row r="4651" spans="1:16" ht="15.75" x14ac:dyDescent="0.25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</row>
    <row r="4652" spans="1:16" ht="15.75" x14ac:dyDescent="0.25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</row>
    <row r="4653" spans="1:16" ht="15.75" x14ac:dyDescent="0.25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</row>
    <row r="4654" spans="1:16" ht="15.75" x14ac:dyDescent="0.25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</row>
    <row r="4655" spans="1:16" ht="15.75" x14ac:dyDescent="0.25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</row>
    <row r="4656" spans="1:16" ht="15.75" x14ac:dyDescent="0.25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</row>
    <row r="4657" spans="1:16" ht="15.75" x14ac:dyDescent="0.25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</row>
    <row r="4658" spans="1:16" ht="15.75" x14ac:dyDescent="0.25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</row>
    <row r="4659" spans="1:16" ht="15.75" x14ac:dyDescent="0.25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</row>
    <row r="4660" spans="1:16" ht="15.75" x14ac:dyDescent="0.25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</row>
    <row r="4661" spans="1:16" ht="15.75" x14ac:dyDescent="0.25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</row>
    <row r="4662" spans="1:16" ht="15.75" x14ac:dyDescent="0.25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</row>
    <row r="4663" spans="1:16" ht="15.75" x14ac:dyDescent="0.25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</row>
    <row r="4664" spans="1:16" ht="15.75" x14ac:dyDescent="0.25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</row>
    <row r="4665" spans="1:16" ht="15.75" x14ac:dyDescent="0.25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</row>
    <row r="4666" spans="1:16" ht="15.75" x14ac:dyDescent="0.25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</row>
    <row r="4667" spans="1:16" ht="15.75" x14ac:dyDescent="0.25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</row>
    <row r="4668" spans="1:16" ht="15.75" x14ac:dyDescent="0.25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</row>
    <row r="4669" spans="1:16" ht="15.75" x14ac:dyDescent="0.25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</row>
    <row r="4670" spans="1:16" ht="15.75" x14ac:dyDescent="0.25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</row>
    <row r="4671" spans="1:16" ht="15.75" x14ac:dyDescent="0.25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</row>
    <row r="4672" spans="1:16" ht="15.75" x14ac:dyDescent="0.25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</row>
    <row r="4673" spans="1:16" ht="15.75" x14ac:dyDescent="0.25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</row>
    <row r="4674" spans="1:16" ht="15.75" x14ac:dyDescent="0.25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</row>
    <row r="4675" spans="1:16" ht="15.75" x14ac:dyDescent="0.25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</row>
    <row r="4676" spans="1:16" ht="15.75" x14ac:dyDescent="0.25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</row>
    <row r="4677" spans="1:16" ht="15.75" x14ac:dyDescent="0.25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</row>
    <row r="4678" spans="1:16" ht="15.75" x14ac:dyDescent="0.25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</row>
    <row r="4679" spans="1:16" ht="15.75" x14ac:dyDescent="0.25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</row>
    <row r="4680" spans="1:16" ht="15.75" x14ac:dyDescent="0.25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</row>
    <row r="4681" spans="1:16" ht="15.75" x14ac:dyDescent="0.25">
      <c r="A4681" s="7"/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</row>
    <row r="4682" spans="1:16" ht="15.75" x14ac:dyDescent="0.25">
      <c r="A4682" s="7"/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</row>
    <row r="4683" spans="1:16" ht="15.75" x14ac:dyDescent="0.25">
      <c r="A4683" s="7"/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</row>
    <row r="4684" spans="1:16" ht="15.75" x14ac:dyDescent="0.25">
      <c r="A4684" s="7"/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</row>
    <row r="4685" spans="1:16" ht="15.75" x14ac:dyDescent="0.25">
      <c r="A4685" s="7"/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</row>
    <row r="4686" spans="1:16" ht="15.75" x14ac:dyDescent="0.25">
      <c r="A4686" s="7"/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</row>
    <row r="4687" spans="1:16" ht="15.75" x14ac:dyDescent="0.25">
      <c r="A4687" s="7"/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</row>
    <row r="4688" spans="1:16" ht="15.75" x14ac:dyDescent="0.25">
      <c r="A4688" s="7"/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</row>
    <row r="4689" spans="1:16" ht="15.75" x14ac:dyDescent="0.25">
      <c r="A4689" s="7"/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</row>
    <row r="4690" spans="1:16" ht="15.75" x14ac:dyDescent="0.25">
      <c r="A4690" s="7"/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</row>
    <row r="4691" spans="1:16" ht="15.75" x14ac:dyDescent="0.25">
      <c r="A4691" s="7"/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</row>
    <row r="4692" spans="1:16" ht="15.75" x14ac:dyDescent="0.25">
      <c r="A4692" s="7"/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</row>
    <row r="4693" spans="1:16" ht="15.75" x14ac:dyDescent="0.25">
      <c r="A4693" s="7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</row>
    <row r="4694" spans="1:16" ht="15.75" x14ac:dyDescent="0.25">
      <c r="A4694" s="7"/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</row>
    <row r="4695" spans="1:16" ht="15.75" x14ac:dyDescent="0.25">
      <c r="A4695" s="7"/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</row>
    <row r="4696" spans="1:16" ht="15.75" x14ac:dyDescent="0.25">
      <c r="A4696" s="7"/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</row>
    <row r="4697" spans="1:16" ht="15.75" x14ac:dyDescent="0.25">
      <c r="A4697" s="7"/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</row>
    <row r="4698" spans="1:16" ht="15.75" x14ac:dyDescent="0.25">
      <c r="A4698" s="7"/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</row>
    <row r="4699" spans="1:16" ht="15.75" x14ac:dyDescent="0.25">
      <c r="A4699" s="7"/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</row>
    <row r="4700" spans="1:16" ht="15.75" x14ac:dyDescent="0.25">
      <c r="A4700" s="7"/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</row>
    <row r="4701" spans="1:16" ht="15.75" x14ac:dyDescent="0.25">
      <c r="A4701" s="7"/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</row>
    <row r="4702" spans="1:16" ht="15.75" x14ac:dyDescent="0.25">
      <c r="A4702" s="7"/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</row>
    <row r="4703" spans="1:16" ht="15.75" x14ac:dyDescent="0.25">
      <c r="A4703" s="7"/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</row>
    <row r="4704" spans="1:16" ht="15.75" x14ac:dyDescent="0.25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</row>
    <row r="4705" spans="1:16" ht="15.75" x14ac:dyDescent="0.25">
      <c r="A4705" s="7"/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</row>
    <row r="4706" spans="1:16" ht="15.75" x14ac:dyDescent="0.25">
      <c r="A4706" s="7"/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</row>
    <row r="4707" spans="1:16" ht="15.75" x14ac:dyDescent="0.25">
      <c r="A4707" s="7"/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</row>
    <row r="4708" spans="1:16" ht="15.75" x14ac:dyDescent="0.25">
      <c r="A4708" s="7"/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</row>
    <row r="4709" spans="1:16" ht="15.75" x14ac:dyDescent="0.25">
      <c r="A4709" s="7"/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</row>
    <row r="4710" spans="1:16" ht="15.75" x14ac:dyDescent="0.25">
      <c r="A4710" s="7"/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</row>
    <row r="4711" spans="1:16" ht="15.75" x14ac:dyDescent="0.25">
      <c r="A4711" s="7"/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</row>
    <row r="4712" spans="1:16" ht="15.75" x14ac:dyDescent="0.25">
      <c r="A4712" s="7"/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</row>
    <row r="4713" spans="1:16" ht="15.75" x14ac:dyDescent="0.25">
      <c r="A4713" s="7"/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</row>
    <row r="4714" spans="1:16" ht="15.75" x14ac:dyDescent="0.25">
      <c r="A4714" s="7"/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</row>
    <row r="4715" spans="1:16" ht="15.75" x14ac:dyDescent="0.25">
      <c r="A4715" s="7"/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</row>
    <row r="4716" spans="1:16" ht="15.75" x14ac:dyDescent="0.25">
      <c r="A4716" s="7"/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</row>
    <row r="4717" spans="1:16" ht="15.75" x14ac:dyDescent="0.25">
      <c r="A4717" s="7"/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</row>
    <row r="4718" spans="1:16" ht="15.75" x14ac:dyDescent="0.25">
      <c r="A4718" s="7"/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</row>
    <row r="4719" spans="1:16" ht="15.75" x14ac:dyDescent="0.25">
      <c r="A4719" s="7"/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</row>
    <row r="4720" spans="1:16" ht="15.75" x14ac:dyDescent="0.25">
      <c r="A4720" s="7"/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</row>
    <row r="4721" spans="1:16" ht="15.75" x14ac:dyDescent="0.25">
      <c r="A4721" s="7"/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</row>
    <row r="4722" spans="1:16" ht="15.75" x14ac:dyDescent="0.25">
      <c r="A4722" s="7"/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</row>
    <row r="4723" spans="1:16" ht="15.75" x14ac:dyDescent="0.25">
      <c r="A4723" s="7"/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</row>
    <row r="4724" spans="1:16" ht="15.75" x14ac:dyDescent="0.25">
      <c r="A4724" s="7"/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</row>
    <row r="4725" spans="1:16" ht="15.75" x14ac:dyDescent="0.25">
      <c r="A4725" s="7"/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</row>
    <row r="4726" spans="1:16" ht="15.75" x14ac:dyDescent="0.25">
      <c r="A4726" s="7"/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</row>
    <row r="4727" spans="1:16" ht="15.75" x14ac:dyDescent="0.25">
      <c r="A4727" s="7"/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</row>
    <row r="4728" spans="1:16" ht="15.75" x14ac:dyDescent="0.25">
      <c r="A4728" s="7"/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</row>
    <row r="4729" spans="1:16" ht="15.75" x14ac:dyDescent="0.25">
      <c r="A4729" s="7"/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</row>
    <row r="4730" spans="1:16" ht="15.75" x14ac:dyDescent="0.25">
      <c r="A4730" s="7"/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</row>
    <row r="4731" spans="1:16" ht="15.75" x14ac:dyDescent="0.25">
      <c r="A4731" s="7"/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</row>
    <row r="4732" spans="1:16" ht="15.75" x14ac:dyDescent="0.25">
      <c r="A4732" s="7"/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</row>
    <row r="4733" spans="1:16" ht="15.75" x14ac:dyDescent="0.25">
      <c r="A4733" s="7"/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</row>
    <row r="4734" spans="1:16" ht="15.75" x14ac:dyDescent="0.25">
      <c r="A4734" s="7"/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</row>
    <row r="4735" spans="1:16" ht="15.75" x14ac:dyDescent="0.25">
      <c r="A4735" s="7"/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</row>
    <row r="4736" spans="1:16" ht="15.75" x14ac:dyDescent="0.25">
      <c r="A4736" s="7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</row>
    <row r="4737" spans="1:16" ht="15.75" x14ac:dyDescent="0.25">
      <c r="A4737" s="7"/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</row>
    <row r="4738" spans="1:16" ht="15.75" x14ac:dyDescent="0.25">
      <c r="A4738" s="7"/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</row>
    <row r="4739" spans="1:16" ht="15.75" x14ac:dyDescent="0.25">
      <c r="A4739" s="7"/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</row>
    <row r="4740" spans="1:16" ht="15.75" x14ac:dyDescent="0.25">
      <c r="A4740" s="7"/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</row>
    <row r="4741" spans="1:16" ht="15.75" x14ac:dyDescent="0.25">
      <c r="A4741" s="7"/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</row>
    <row r="4742" spans="1:16" ht="15.75" x14ac:dyDescent="0.25">
      <c r="A4742" s="7"/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</row>
    <row r="4743" spans="1:16" ht="15.75" x14ac:dyDescent="0.25">
      <c r="A4743" s="7"/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</row>
    <row r="4744" spans="1:16" ht="15.75" x14ac:dyDescent="0.25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</row>
    <row r="4745" spans="1:16" ht="15.75" x14ac:dyDescent="0.25">
      <c r="A4745" s="7"/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</row>
    <row r="4746" spans="1:16" ht="15.75" x14ac:dyDescent="0.25">
      <c r="A4746" s="7"/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</row>
    <row r="4747" spans="1:16" ht="15.75" x14ac:dyDescent="0.25">
      <c r="A4747" s="7"/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</row>
    <row r="4748" spans="1:16" ht="15.75" x14ac:dyDescent="0.25">
      <c r="A4748" s="7"/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</row>
    <row r="4749" spans="1:16" ht="15.75" x14ac:dyDescent="0.25">
      <c r="A4749" s="7"/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</row>
    <row r="4750" spans="1:16" ht="15.75" x14ac:dyDescent="0.25">
      <c r="A4750" s="7"/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</row>
    <row r="4751" spans="1:16" ht="15.75" x14ac:dyDescent="0.25">
      <c r="A4751" s="7"/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</row>
    <row r="4752" spans="1:16" ht="15.75" x14ac:dyDescent="0.25">
      <c r="A4752" s="7"/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</row>
    <row r="4753" spans="1:16" ht="15.75" x14ac:dyDescent="0.25">
      <c r="A4753" s="7"/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</row>
    <row r="4754" spans="1:16" ht="15.75" x14ac:dyDescent="0.25">
      <c r="A4754" s="7"/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</row>
    <row r="4755" spans="1:16" ht="15.75" x14ac:dyDescent="0.25">
      <c r="A4755" s="7"/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</row>
    <row r="4756" spans="1:16" ht="15.75" x14ac:dyDescent="0.25">
      <c r="A4756" s="7"/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</row>
    <row r="4757" spans="1:16" ht="15.75" x14ac:dyDescent="0.25">
      <c r="A4757" s="7"/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</row>
    <row r="4758" spans="1:16" ht="15.75" x14ac:dyDescent="0.25">
      <c r="A4758" s="7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</row>
    <row r="4759" spans="1:16" ht="15.75" x14ac:dyDescent="0.25">
      <c r="A4759" s="7"/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</row>
    <row r="4760" spans="1:16" ht="15.75" x14ac:dyDescent="0.25">
      <c r="A4760" s="7"/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</row>
    <row r="4761" spans="1:16" ht="15.75" x14ac:dyDescent="0.25">
      <c r="A4761" s="7"/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</row>
    <row r="4762" spans="1:16" ht="15.75" x14ac:dyDescent="0.25">
      <c r="A4762" s="7"/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</row>
    <row r="4763" spans="1:16" ht="15.75" x14ac:dyDescent="0.25">
      <c r="A4763" s="7"/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</row>
    <row r="4764" spans="1:16" ht="15.75" x14ac:dyDescent="0.25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</row>
    <row r="4765" spans="1:16" ht="15.75" x14ac:dyDescent="0.25">
      <c r="A4765" s="7"/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</row>
    <row r="4766" spans="1:16" ht="15.75" x14ac:dyDescent="0.25">
      <c r="A4766" s="7"/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</row>
    <row r="4767" spans="1:16" ht="15.75" x14ac:dyDescent="0.25">
      <c r="A4767" s="7"/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</row>
    <row r="4768" spans="1:16" ht="15.75" x14ac:dyDescent="0.25">
      <c r="A4768" s="7"/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</row>
    <row r="4769" spans="1:16" ht="15.75" x14ac:dyDescent="0.25">
      <c r="A4769" s="7"/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</row>
    <row r="4770" spans="1:16" ht="15.75" x14ac:dyDescent="0.25">
      <c r="A4770" s="7"/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</row>
    <row r="4771" spans="1:16" ht="15.75" x14ac:dyDescent="0.25">
      <c r="A4771" s="7"/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</row>
    <row r="4772" spans="1:16" ht="15.75" x14ac:dyDescent="0.25">
      <c r="A4772" s="7"/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</row>
    <row r="4773" spans="1:16" ht="15.75" x14ac:dyDescent="0.25">
      <c r="A4773" s="7"/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</row>
    <row r="4774" spans="1:16" ht="15.75" x14ac:dyDescent="0.25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</row>
    <row r="4775" spans="1:16" ht="15.75" x14ac:dyDescent="0.25">
      <c r="A4775" s="7"/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</row>
    <row r="4776" spans="1:16" ht="15.75" x14ac:dyDescent="0.25">
      <c r="A4776" s="7"/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</row>
    <row r="4777" spans="1:16" ht="15.75" x14ac:dyDescent="0.25">
      <c r="A4777" s="7"/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</row>
    <row r="4778" spans="1:16" ht="15.75" x14ac:dyDescent="0.25">
      <c r="A4778" s="7"/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</row>
    <row r="4779" spans="1:16" ht="15.75" x14ac:dyDescent="0.25">
      <c r="A4779" s="7"/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</row>
    <row r="4780" spans="1:16" ht="15.75" x14ac:dyDescent="0.25">
      <c r="A4780" s="7"/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</row>
    <row r="4781" spans="1:16" ht="15.75" x14ac:dyDescent="0.25">
      <c r="A4781" s="7"/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</row>
    <row r="4782" spans="1:16" ht="15.75" x14ac:dyDescent="0.25">
      <c r="A4782" s="7"/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</row>
    <row r="4783" spans="1:16" ht="15.75" x14ac:dyDescent="0.25">
      <c r="A4783" s="7"/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</row>
    <row r="4784" spans="1:16" ht="15.75" x14ac:dyDescent="0.25">
      <c r="A4784" s="7"/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</row>
    <row r="4785" spans="1:16" ht="15.75" x14ac:dyDescent="0.25">
      <c r="A4785" s="7"/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</row>
    <row r="4786" spans="1:16" ht="15.75" x14ac:dyDescent="0.25">
      <c r="A4786" s="7"/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</row>
    <row r="4787" spans="1:16" ht="15.75" x14ac:dyDescent="0.25">
      <c r="A4787" s="7"/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</row>
    <row r="4788" spans="1:16" ht="15.75" x14ac:dyDescent="0.25">
      <c r="A4788" s="7"/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</row>
    <row r="4789" spans="1:16" ht="15.75" x14ac:dyDescent="0.25">
      <c r="A4789" s="7"/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</row>
    <row r="4790" spans="1:16" ht="15.75" x14ac:dyDescent="0.25">
      <c r="A4790" s="7"/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</row>
    <row r="4791" spans="1:16" ht="15.75" x14ac:dyDescent="0.25">
      <c r="A4791" s="7"/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</row>
    <row r="4792" spans="1:16" ht="15.75" x14ac:dyDescent="0.25">
      <c r="A4792" s="7"/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</row>
    <row r="4793" spans="1:16" ht="15.75" x14ac:dyDescent="0.25">
      <c r="A4793" s="7"/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</row>
    <row r="4794" spans="1:16" ht="15.75" x14ac:dyDescent="0.25">
      <c r="A4794" s="7"/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</row>
    <row r="4795" spans="1:16" ht="15.75" x14ac:dyDescent="0.25">
      <c r="A4795" s="7"/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</row>
    <row r="4796" spans="1:16" ht="15.75" x14ac:dyDescent="0.25">
      <c r="A4796" s="7"/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</row>
    <row r="4797" spans="1:16" ht="15.75" x14ac:dyDescent="0.25">
      <c r="A4797" s="7"/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</row>
    <row r="4798" spans="1:16" ht="15.75" x14ac:dyDescent="0.25">
      <c r="A4798" s="7"/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</row>
    <row r="4799" spans="1:16" ht="15.75" x14ac:dyDescent="0.25">
      <c r="A4799" s="7"/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</row>
    <row r="4800" spans="1:16" ht="15.75" x14ac:dyDescent="0.25">
      <c r="A4800" s="7"/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</row>
    <row r="4801" spans="1:16" ht="15.75" x14ac:dyDescent="0.25">
      <c r="A4801" s="7"/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</row>
    <row r="4802" spans="1:16" ht="15.75" x14ac:dyDescent="0.25">
      <c r="A4802" s="7"/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</row>
    <row r="4803" spans="1:16" ht="15.75" x14ac:dyDescent="0.25">
      <c r="A4803" s="7"/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</row>
    <row r="4804" spans="1:16" ht="15.75" x14ac:dyDescent="0.25">
      <c r="A4804" s="7"/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</row>
    <row r="4805" spans="1:16" ht="15.75" x14ac:dyDescent="0.25">
      <c r="A4805" s="7"/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</row>
    <row r="4806" spans="1:16" ht="15.75" x14ac:dyDescent="0.25">
      <c r="A4806" s="7"/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</row>
    <row r="4807" spans="1:16" ht="15.75" x14ac:dyDescent="0.25">
      <c r="A4807" s="7"/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</row>
    <row r="4808" spans="1:16" ht="15.75" x14ac:dyDescent="0.25">
      <c r="A4808" s="7"/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</row>
    <row r="4809" spans="1:16" ht="15.75" x14ac:dyDescent="0.25">
      <c r="A4809" s="7"/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</row>
    <row r="4810" spans="1:16" ht="15.75" x14ac:dyDescent="0.25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</row>
    <row r="4811" spans="1:16" ht="15.75" x14ac:dyDescent="0.25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</row>
    <row r="4812" spans="1:16" ht="15.75" x14ac:dyDescent="0.25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</row>
    <row r="4813" spans="1:16" ht="15.75" x14ac:dyDescent="0.25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</row>
    <row r="4814" spans="1:16" ht="15.75" x14ac:dyDescent="0.25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</row>
    <row r="4815" spans="1:16" ht="15.75" x14ac:dyDescent="0.25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</row>
    <row r="4816" spans="1:16" ht="15.75" x14ac:dyDescent="0.25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</row>
    <row r="4817" spans="1:16" ht="15.75" x14ac:dyDescent="0.25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</row>
    <row r="4818" spans="1:16" ht="15.75" x14ac:dyDescent="0.25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</row>
    <row r="4819" spans="1:16" ht="15.75" x14ac:dyDescent="0.25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</row>
    <row r="4820" spans="1:16" ht="15.75" x14ac:dyDescent="0.25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</row>
    <row r="4821" spans="1:16" ht="15.75" x14ac:dyDescent="0.25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</row>
    <row r="4822" spans="1:16" ht="15.75" x14ac:dyDescent="0.25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</row>
    <row r="4823" spans="1:16" ht="15.75" x14ac:dyDescent="0.25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</row>
    <row r="4824" spans="1:16" ht="15.75" x14ac:dyDescent="0.25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</row>
    <row r="4825" spans="1:16" ht="15.75" x14ac:dyDescent="0.25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</row>
    <row r="4826" spans="1:16" ht="15.75" x14ac:dyDescent="0.25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</row>
    <row r="4827" spans="1:16" ht="15.75" x14ac:dyDescent="0.25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</row>
    <row r="4828" spans="1:16" ht="15.75" x14ac:dyDescent="0.25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</row>
    <row r="4829" spans="1:16" ht="15.75" x14ac:dyDescent="0.25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</row>
    <row r="4830" spans="1:16" ht="15.75" x14ac:dyDescent="0.25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</row>
    <row r="4831" spans="1:16" ht="15.75" x14ac:dyDescent="0.25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</row>
    <row r="4832" spans="1:16" ht="15.75" x14ac:dyDescent="0.25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</row>
    <row r="4833" spans="1:16" ht="15.75" x14ac:dyDescent="0.25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</row>
    <row r="4834" spans="1:16" ht="15.75" x14ac:dyDescent="0.25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</row>
    <row r="4835" spans="1:16" ht="15.75" x14ac:dyDescent="0.25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</row>
    <row r="4836" spans="1:16" ht="15.75" x14ac:dyDescent="0.25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</row>
    <row r="4837" spans="1:16" ht="15.75" x14ac:dyDescent="0.25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</row>
    <row r="4838" spans="1:16" ht="15.75" x14ac:dyDescent="0.25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</row>
    <row r="4839" spans="1:16" ht="15.75" x14ac:dyDescent="0.25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</row>
    <row r="4840" spans="1:16" ht="15.75" x14ac:dyDescent="0.25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</row>
    <row r="4841" spans="1:16" ht="15.75" x14ac:dyDescent="0.25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</row>
    <row r="4842" spans="1:16" ht="15.75" x14ac:dyDescent="0.25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</row>
    <row r="4843" spans="1:16" ht="15.75" x14ac:dyDescent="0.25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</row>
    <row r="4844" spans="1:16" ht="15.75" x14ac:dyDescent="0.25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</row>
    <row r="4845" spans="1:16" ht="15.75" x14ac:dyDescent="0.25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</row>
    <row r="4846" spans="1:16" ht="15.75" x14ac:dyDescent="0.25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</row>
    <row r="4847" spans="1:16" ht="15.75" x14ac:dyDescent="0.25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</row>
    <row r="4848" spans="1:16" ht="15.75" x14ac:dyDescent="0.25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</row>
    <row r="4849" spans="1:16" ht="15.75" x14ac:dyDescent="0.25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</row>
    <row r="4850" spans="1:16" ht="15.75" x14ac:dyDescent="0.25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</row>
    <row r="4851" spans="1:16" ht="15.75" x14ac:dyDescent="0.25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</row>
    <row r="4852" spans="1:16" ht="15.75" x14ac:dyDescent="0.25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</row>
    <row r="4853" spans="1:16" ht="15.75" x14ac:dyDescent="0.25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</row>
    <row r="4854" spans="1:16" ht="15.75" x14ac:dyDescent="0.25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</row>
    <row r="4855" spans="1:16" ht="15.75" x14ac:dyDescent="0.25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</row>
    <row r="4856" spans="1:16" ht="15.75" x14ac:dyDescent="0.25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</row>
    <row r="4857" spans="1:16" ht="15.75" x14ac:dyDescent="0.25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</row>
    <row r="4858" spans="1:16" ht="15.75" x14ac:dyDescent="0.25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</row>
    <row r="4859" spans="1:16" ht="15.75" x14ac:dyDescent="0.25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</row>
    <row r="4860" spans="1:16" ht="15.75" x14ac:dyDescent="0.25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</row>
    <row r="4861" spans="1:16" ht="15.75" x14ac:dyDescent="0.25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</row>
    <row r="4862" spans="1:16" ht="15.75" x14ac:dyDescent="0.25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</row>
    <row r="4863" spans="1:16" ht="15.75" x14ac:dyDescent="0.25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</row>
    <row r="4864" spans="1:16" ht="15.75" x14ac:dyDescent="0.25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</row>
    <row r="4865" spans="1:16" ht="15.75" x14ac:dyDescent="0.25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</row>
    <row r="4866" spans="1:16" ht="15.75" x14ac:dyDescent="0.25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</row>
    <row r="4867" spans="1:16" ht="15.75" x14ac:dyDescent="0.25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</row>
    <row r="4868" spans="1:16" ht="15.75" x14ac:dyDescent="0.25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</row>
    <row r="4869" spans="1:16" ht="15.75" x14ac:dyDescent="0.25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</row>
    <row r="4870" spans="1:16" ht="15.75" x14ac:dyDescent="0.25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</row>
    <row r="4871" spans="1:16" ht="15.75" x14ac:dyDescent="0.25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</row>
    <row r="4872" spans="1:16" ht="15.75" x14ac:dyDescent="0.25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</row>
    <row r="4873" spans="1:16" ht="15.75" x14ac:dyDescent="0.25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</row>
    <row r="4874" spans="1:16" ht="15.75" x14ac:dyDescent="0.25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</row>
    <row r="4875" spans="1:16" ht="15.75" x14ac:dyDescent="0.25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</row>
    <row r="4876" spans="1:16" ht="15.75" x14ac:dyDescent="0.25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</row>
    <row r="4877" spans="1:16" ht="15.75" x14ac:dyDescent="0.25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</row>
    <row r="4878" spans="1:16" ht="15.75" x14ac:dyDescent="0.25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</row>
    <row r="4879" spans="1:16" ht="15.75" x14ac:dyDescent="0.25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</row>
    <row r="4880" spans="1:16" ht="15.75" x14ac:dyDescent="0.25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</row>
    <row r="4881" spans="1:16" ht="15.75" x14ac:dyDescent="0.25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</row>
    <row r="4882" spans="1:16" ht="15.75" x14ac:dyDescent="0.25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</row>
    <row r="4883" spans="1:16" ht="15.75" x14ac:dyDescent="0.25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</row>
    <row r="4884" spans="1:16" ht="15.75" x14ac:dyDescent="0.25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</row>
    <row r="4885" spans="1:16" ht="15.75" x14ac:dyDescent="0.25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</row>
    <row r="4886" spans="1:16" ht="15.75" x14ac:dyDescent="0.25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</row>
    <row r="4887" spans="1:16" ht="15.75" x14ac:dyDescent="0.25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</row>
    <row r="4888" spans="1:16" ht="15.75" x14ac:dyDescent="0.25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</row>
    <row r="4889" spans="1:16" ht="15.75" x14ac:dyDescent="0.25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</row>
    <row r="4890" spans="1:16" ht="15.75" x14ac:dyDescent="0.25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</row>
    <row r="4891" spans="1:16" ht="15.75" x14ac:dyDescent="0.25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</row>
    <row r="4892" spans="1:16" ht="15.75" x14ac:dyDescent="0.25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</row>
    <row r="4893" spans="1:16" ht="15.75" x14ac:dyDescent="0.25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</row>
    <row r="4894" spans="1:16" ht="15.75" x14ac:dyDescent="0.25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</row>
    <row r="4895" spans="1:16" ht="15.75" x14ac:dyDescent="0.25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</row>
    <row r="4896" spans="1:16" ht="15.75" x14ac:dyDescent="0.25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</row>
    <row r="4897" spans="1:16" ht="15.75" x14ac:dyDescent="0.25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</row>
    <row r="4898" spans="1:16" ht="15.75" x14ac:dyDescent="0.25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</row>
    <row r="4899" spans="1:16" ht="15.75" x14ac:dyDescent="0.25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</row>
    <row r="4900" spans="1:16" ht="15.7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</row>
    <row r="4901" spans="1:16" ht="15.7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</row>
    <row r="4902" spans="1:16" ht="15.7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</row>
    <row r="4903" spans="1:16" ht="15.7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</row>
    <row r="4904" spans="1:16" ht="15.7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</row>
    <row r="4905" spans="1:16" ht="15.7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</row>
    <row r="4906" spans="1:16" ht="15.7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</row>
    <row r="4907" spans="1:16" ht="15.7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</row>
    <row r="4908" spans="1:16" ht="15.7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</row>
    <row r="4909" spans="1:16" ht="15.7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</row>
    <row r="4910" spans="1:16" ht="15.7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</row>
    <row r="4911" spans="1:16" ht="15.7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</row>
    <row r="4912" spans="1:16" ht="15.7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</row>
    <row r="4913" spans="1:16" ht="15.7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</row>
    <row r="4914" spans="1:16" ht="15.7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</row>
    <row r="4915" spans="1:16" ht="15.7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</row>
    <row r="4916" spans="1:16" ht="15.7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</row>
    <row r="4917" spans="1:16" ht="15.7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</row>
    <row r="4918" spans="1:16" ht="15.7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</row>
    <row r="4919" spans="1:16" ht="15.7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</row>
    <row r="4920" spans="1:16" ht="15.7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</row>
    <row r="4921" spans="1:16" ht="15.7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</row>
    <row r="4922" spans="1:16" ht="15.7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</row>
    <row r="4923" spans="1:16" ht="15.7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</row>
    <row r="4924" spans="1:16" ht="15.7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</row>
    <row r="4925" spans="1:16" ht="15.7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</row>
    <row r="4926" spans="1:16" ht="15.7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</row>
    <row r="4927" spans="1:16" ht="15.7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</row>
    <row r="4928" spans="1:16" ht="15.7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</row>
    <row r="4929" spans="1:16" ht="15.7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</row>
    <row r="4930" spans="1:16" ht="15.7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</row>
    <row r="4931" spans="1:16" ht="15.7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</row>
    <row r="4932" spans="1:16" ht="15.7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</row>
    <row r="4933" spans="1:16" ht="15.7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</row>
    <row r="4934" spans="1:16" ht="15.7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</row>
    <row r="4935" spans="1:16" ht="15.7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</row>
    <row r="4936" spans="1:16" ht="15.7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</row>
    <row r="4937" spans="1:16" ht="15.7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</row>
    <row r="4938" spans="1:16" ht="15.7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</row>
    <row r="4939" spans="1:16" ht="15.7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</row>
    <row r="4940" spans="1:16" ht="15.7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</row>
    <row r="4941" spans="1:16" ht="15.7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</row>
    <row r="4942" spans="1:16" ht="15.7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</row>
    <row r="4943" spans="1:16" ht="15.7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</row>
    <row r="4944" spans="1:16" ht="15.7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</row>
    <row r="4945" spans="1:16" ht="15.7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</row>
    <row r="4946" spans="1:16" ht="15.7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</row>
    <row r="4947" spans="1:16" ht="15.7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</row>
    <row r="4948" spans="1:16" ht="15.7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</row>
    <row r="4949" spans="1:16" ht="15.7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</row>
    <row r="4950" spans="1:16" ht="15.7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</row>
    <row r="4951" spans="1:16" ht="15.7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</row>
    <row r="4952" spans="1:16" ht="15.7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</row>
    <row r="4953" spans="1:16" ht="15.7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</row>
    <row r="4954" spans="1:16" ht="15.7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</row>
    <row r="4955" spans="1:16" ht="15.7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</row>
    <row r="4956" spans="1:16" ht="15.7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</row>
    <row r="4957" spans="1:16" ht="15.7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</row>
    <row r="4958" spans="1:16" ht="15.7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</row>
    <row r="4959" spans="1:16" ht="15.7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</row>
    <row r="4960" spans="1:16" ht="15.7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</row>
    <row r="4961" spans="1:16" ht="15.7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</row>
    <row r="4962" spans="1:16" ht="15.7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</row>
    <row r="4963" spans="1:16" ht="15.7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</row>
    <row r="4964" spans="1:16" ht="15.7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</row>
    <row r="4965" spans="1:16" ht="15.7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</row>
    <row r="4966" spans="1:16" ht="15.7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</row>
    <row r="4967" spans="1:16" ht="15.7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</row>
    <row r="4968" spans="1:16" ht="15.7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</row>
    <row r="4969" spans="1:16" ht="15.7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</row>
    <row r="4970" spans="1:16" ht="15.7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</row>
    <row r="4971" spans="1:16" ht="15.7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</row>
    <row r="4972" spans="1:16" ht="15.7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</row>
    <row r="4973" spans="1:16" ht="15.7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</row>
    <row r="4974" spans="1:16" ht="15.7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</row>
    <row r="4975" spans="1:16" ht="15.7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</row>
    <row r="4976" spans="1:16" ht="15.7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</row>
    <row r="4977" spans="1:16" ht="15.7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</row>
    <row r="4978" spans="1:16" ht="15.7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</row>
    <row r="4979" spans="1:16" ht="15.7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</row>
    <row r="4980" spans="1:16" ht="15.7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</row>
    <row r="4981" spans="1:16" ht="15.7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</row>
    <row r="4982" spans="1:16" ht="15.7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</row>
    <row r="4983" spans="1:16" ht="15.7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</row>
    <row r="4984" spans="1:16" ht="15.7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</row>
    <row r="4985" spans="1:16" ht="15.7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</row>
    <row r="4986" spans="1:16" ht="15.7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</row>
    <row r="4987" spans="1:16" ht="15.7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</row>
    <row r="4988" spans="1:16" ht="15.7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</row>
    <row r="4989" spans="1:16" ht="15.7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</row>
    <row r="4990" spans="1:16" ht="15.7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</row>
    <row r="4991" spans="1:16" ht="15.7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</row>
    <row r="4992" spans="1:16" ht="15.7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</row>
    <row r="4993" spans="1:16" ht="15.7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</row>
    <row r="4994" spans="1:16" ht="15.7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</row>
    <row r="4995" spans="1:16" ht="15.7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</row>
    <row r="4996" spans="1:16" ht="15.7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</row>
    <row r="4997" spans="1:16" ht="15.7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</row>
    <row r="4998" spans="1:16" ht="15.7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</row>
    <row r="4999" spans="1:16" ht="15.7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</row>
    <row r="5000" spans="1:16" ht="15.7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</row>
    <row r="5001" spans="1:16" ht="15.7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</row>
    <row r="5002" spans="1:16" ht="15.7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</row>
    <row r="5003" spans="1:16" ht="15.7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</row>
    <row r="5004" spans="1:16" ht="15.7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</row>
    <row r="5005" spans="1:16" ht="15.7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</row>
    <row r="5006" spans="1:16" ht="15.7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</row>
    <row r="5007" spans="1:16" ht="15.7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</row>
    <row r="5008" spans="1:16" ht="15.7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</row>
    <row r="5009" spans="1:16" ht="15.7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</row>
    <row r="5010" spans="1:16" ht="15.7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</row>
    <row r="5011" spans="1:16" ht="15.7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</row>
    <row r="5012" spans="1:16" ht="15.7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</row>
    <row r="5013" spans="1:16" ht="15.7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</row>
    <row r="5014" spans="1:16" ht="15.7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</row>
    <row r="5015" spans="1:16" ht="15.7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</row>
    <row r="5016" spans="1:16" ht="15.7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</row>
    <row r="5017" spans="1:16" ht="15.7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</row>
    <row r="5018" spans="1:16" ht="15.7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</row>
    <row r="5019" spans="1:16" ht="15.7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</row>
    <row r="5020" spans="1:16" ht="15.7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</row>
    <row r="5021" spans="1:16" ht="15.7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</row>
    <row r="5022" spans="1:16" ht="15.7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</row>
    <row r="5023" spans="1:16" ht="15.7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</row>
    <row r="5024" spans="1:16" ht="15.7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</row>
    <row r="5025" spans="1:16" ht="15.7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</row>
    <row r="5026" spans="1:16" ht="15.7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</row>
    <row r="5027" spans="1:16" ht="15.7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</row>
    <row r="5028" spans="1:16" ht="15.7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</row>
    <row r="5029" spans="1:16" ht="15.7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</row>
    <row r="5030" spans="1:16" ht="15.7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</row>
    <row r="5031" spans="1:16" ht="15.7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</row>
    <row r="5032" spans="1:16" ht="15.7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</row>
    <row r="5033" spans="1:16" ht="15.7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</row>
    <row r="5034" spans="1:16" ht="15.7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</row>
    <row r="5035" spans="1:16" ht="15.7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</row>
    <row r="5036" spans="1:16" ht="15.7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</row>
    <row r="5037" spans="1:16" ht="15.7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</row>
    <row r="5038" spans="1:16" ht="15.7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</row>
    <row r="5039" spans="1:16" ht="15.7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</row>
    <row r="5040" spans="1:16" ht="15.7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</row>
    <row r="5041" spans="1:16" ht="15.7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</row>
    <row r="5042" spans="1:16" ht="15.7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</row>
    <row r="5043" spans="1:16" ht="15.7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</row>
    <row r="5044" spans="1:16" ht="15.7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</row>
    <row r="5045" spans="1:16" ht="15.7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</row>
    <row r="5046" spans="1:16" ht="15.7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</row>
    <row r="5047" spans="1:16" ht="15.7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</row>
    <row r="5048" spans="1:16" ht="15.7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</row>
    <row r="5049" spans="1:16" ht="15.7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</row>
    <row r="5050" spans="1:16" ht="15.7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</row>
    <row r="5051" spans="1:16" ht="15.7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</row>
    <row r="5052" spans="1:16" ht="15.7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</row>
    <row r="5053" spans="1:16" ht="15.7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</row>
    <row r="5054" spans="1:16" ht="15.7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</row>
    <row r="5055" spans="1:16" ht="15.7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</row>
    <row r="5056" spans="1:16" ht="15.7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</row>
    <row r="5057" spans="1:16" ht="15.7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</row>
    <row r="5058" spans="1:16" ht="15.7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</row>
    <row r="5059" spans="1:16" ht="15.7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</row>
    <row r="5060" spans="1:16" ht="15.7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</row>
    <row r="5061" spans="1:16" ht="15.7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</row>
    <row r="5062" spans="1:16" ht="15.7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</row>
    <row r="5063" spans="1:16" ht="15.7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</row>
    <row r="5064" spans="1:16" ht="15.7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</row>
    <row r="5065" spans="1:16" ht="15.7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</row>
    <row r="5066" spans="1:16" ht="15.7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</row>
    <row r="5067" spans="1:16" ht="15.7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</row>
    <row r="5068" spans="1:16" ht="15.7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</row>
    <row r="5069" spans="1:16" ht="15.7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</row>
    <row r="5070" spans="1:16" ht="15.7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</row>
    <row r="5071" spans="1:16" ht="15.7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</row>
    <row r="5072" spans="1:16" ht="15.7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</row>
    <row r="5073" spans="1:16" ht="15.7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</row>
    <row r="5074" spans="1:16" ht="15.7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</row>
    <row r="5075" spans="1:16" ht="15.7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</row>
    <row r="5076" spans="1:16" ht="15.7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</row>
    <row r="5077" spans="1:16" ht="15.7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</row>
    <row r="5078" spans="1:16" ht="15.7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</row>
    <row r="5079" spans="1:16" ht="15.7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</row>
    <row r="5080" spans="1:16" ht="15.7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</row>
    <row r="5081" spans="1:16" ht="15.7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</row>
    <row r="5082" spans="1:16" ht="15.7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</row>
    <row r="5083" spans="1:16" ht="15.7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</row>
    <row r="5084" spans="1:16" ht="15.7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</row>
    <row r="5085" spans="1:16" ht="15.7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</row>
    <row r="5086" spans="1:16" ht="15.7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</row>
    <row r="5087" spans="1:16" ht="15.7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</row>
    <row r="5088" spans="1:16" ht="15.7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</row>
    <row r="5089" spans="1:16" ht="15.7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</row>
    <row r="5090" spans="1:16" ht="15.7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</row>
    <row r="5091" spans="1:16" ht="15.7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</row>
    <row r="5092" spans="1:16" ht="15.7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</row>
    <row r="5093" spans="1:16" ht="15.7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</row>
    <row r="5094" spans="1:16" ht="15.7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</row>
    <row r="5095" spans="1:16" ht="15.7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</row>
    <row r="5096" spans="1:16" ht="15.7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</row>
    <row r="5097" spans="1:16" ht="15.7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</row>
    <row r="5098" spans="1:16" ht="15.7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</row>
    <row r="5099" spans="1:16" ht="15.7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</row>
    <row r="5100" spans="1:16" ht="15.7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</row>
    <row r="5101" spans="1:16" ht="15.7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</row>
    <row r="5102" spans="1:16" ht="15.7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</row>
    <row r="5103" spans="1:16" ht="15.7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</row>
    <row r="5104" spans="1:16" ht="15.7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</row>
    <row r="5105" spans="1:16" ht="15.7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</row>
    <row r="5106" spans="1:16" ht="15.7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</row>
    <row r="5107" spans="1:16" ht="15.7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</row>
    <row r="5108" spans="1:16" ht="15.7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</row>
    <row r="5109" spans="1:16" ht="15.7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</row>
    <row r="5110" spans="1:16" ht="15.7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</row>
    <row r="5111" spans="1:16" ht="15.7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</row>
    <row r="5112" spans="1:16" ht="15.7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</row>
    <row r="5113" spans="1:16" ht="15.7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</row>
    <row r="5114" spans="1:16" ht="15.7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</row>
    <row r="5115" spans="1:16" ht="15.7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</row>
    <row r="5116" spans="1:16" ht="15.7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</row>
    <row r="5117" spans="1:16" ht="15.7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</row>
    <row r="5118" spans="1:16" ht="15.7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</row>
    <row r="5119" spans="1:16" ht="15.7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</row>
    <row r="5120" spans="1:16" ht="15.7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</row>
    <row r="5121" spans="1:16" ht="15.7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</row>
    <row r="5122" spans="1:16" ht="15.7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</row>
    <row r="5123" spans="1:16" ht="15.7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</row>
    <row r="5124" spans="1:16" ht="15.7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</row>
    <row r="5125" spans="1:16" ht="15.7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</row>
    <row r="5126" spans="1:16" ht="15.7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</row>
    <row r="5127" spans="1:16" ht="15.7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</row>
    <row r="5128" spans="1:16" ht="15.7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</row>
    <row r="5129" spans="1:16" ht="15.7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</row>
    <row r="5130" spans="1:16" ht="15.7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</row>
    <row r="5131" spans="1:16" ht="15.7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</row>
    <row r="5132" spans="1:16" ht="15.7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</row>
    <row r="5133" spans="1:16" ht="15.7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</row>
    <row r="5134" spans="1:16" ht="15.7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</row>
    <row r="5135" spans="1:16" ht="15.7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</row>
    <row r="5136" spans="1:16" ht="15.7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</row>
    <row r="5137" spans="1:16" ht="15.7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</row>
    <row r="5138" spans="1:16" ht="15.7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</row>
    <row r="5139" spans="1:16" ht="15.7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</row>
    <row r="5140" spans="1:16" ht="15.7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</row>
    <row r="5141" spans="1:16" ht="15.7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</row>
    <row r="5142" spans="1:16" ht="15.7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</row>
    <row r="5143" spans="1:16" ht="15.7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</row>
    <row r="5144" spans="1:16" ht="15.7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</row>
    <row r="5145" spans="1:16" ht="15.7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</row>
    <row r="5146" spans="1:16" ht="15.7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</row>
    <row r="5147" spans="1:16" ht="15.7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</row>
    <row r="5148" spans="1:16" ht="15.7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</row>
    <row r="5149" spans="1:16" ht="15.7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</row>
    <row r="5150" spans="1:16" ht="15.7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</row>
    <row r="5151" spans="1:16" ht="15.7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</row>
    <row r="5152" spans="1:16" ht="15.7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</row>
    <row r="5153" spans="1:16" ht="15.7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</row>
    <row r="5154" spans="1:16" ht="15.7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</row>
    <row r="5155" spans="1:16" ht="15.7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</row>
    <row r="5156" spans="1:16" ht="15.7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</row>
    <row r="5157" spans="1:16" ht="15.7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</row>
    <row r="5158" spans="1:16" ht="15.7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</row>
    <row r="5159" spans="1:16" ht="15.7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</row>
    <row r="5160" spans="1:16" ht="15.7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</row>
    <row r="5161" spans="1:16" ht="15.7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</row>
    <row r="5162" spans="1:16" ht="15.7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</row>
    <row r="5163" spans="1:16" ht="15.7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</row>
    <row r="5164" spans="1:16" ht="15.7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</row>
    <row r="5165" spans="1:16" ht="15.7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</row>
    <row r="5166" spans="1:16" ht="15.7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</row>
    <row r="5167" spans="1:16" ht="15.7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</row>
    <row r="5168" spans="1:16" ht="15.7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</row>
    <row r="5169" spans="1:16" ht="15.7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</row>
    <row r="5170" spans="1:16" ht="15.7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</row>
    <row r="5171" spans="1:16" ht="15.7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</row>
    <row r="5172" spans="1:16" ht="15.7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</row>
    <row r="5173" spans="1:16" ht="15.7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</row>
    <row r="5174" spans="1:16" ht="15.7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</row>
    <row r="5175" spans="1:16" ht="15.7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</row>
    <row r="5176" spans="1:16" ht="15.7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</row>
    <row r="5177" spans="1:16" ht="15.7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</row>
    <row r="5178" spans="1:16" ht="15.7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</row>
    <row r="5179" spans="1:16" ht="15.7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</row>
    <row r="5180" spans="1:16" ht="15.7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</row>
    <row r="5181" spans="1:16" ht="15.7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</row>
    <row r="5182" spans="1:16" ht="15.7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</row>
    <row r="5183" spans="1:16" ht="15.7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</row>
    <row r="5184" spans="1:16" ht="15.7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</row>
    <row r="5185" spans="1:16" ht="15.7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</row>
    <row r="5186" spans="1:16" ht="15.7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</row>
    <row r="5187" spans="1:16" ht="15.7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</row>
    <row r="5188" spans="1:16" ht="15.7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</row>
    <row r="5189" spans="1:16" ht="15.7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</row>
    <row r="5190" spans="1:16" ht="15.7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</row>
    <row r="5191" spans="1:16" ht="15.7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</row>
    <row r="5192" spans="1:16" ht="15.7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</row>
    <row r="5193" spans="1:16" ht="15.7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</row>
    <row r="5194" spans="1:16" ht="15.7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</row>
    <row r="5195" spans="1:16" ht="15.7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</row>
    <row r="5196" spans="1:16" ht="15.7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</row>
    <row r="5197" spans="1:16" ht="15.7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</row>
    <row r="5198" spans="1:16" ht="15.7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</row>
    <row r="5199" spans="1:16" ht="15.7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</row>
    <row r="5200" spans="1:16" ht="15.7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</row>
    <row r="5201" spans="1:16" ht="15.7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</row>
    <row r="5202" spans="1:16" ht="15.7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</row>
    <row r="5203" spans="1:16" ht="15.7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</row>
    <row r="5204" spans="1:16" ht="15.7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</row>
    <row r="5205" spans="1:16" ht="15.7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</row>
    <row r="5206" spans="1:16" ht="15.7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</row>
    <row r="5207" spans="1:16" ht="15.7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</row>
    <row r="5208" spans="1:16" ht="15.7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</row>
    <row r="5209" spans="1:16" ht="15.7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</row>
    <row r="5210" spans="1:16" ht="15.7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</row>
    <row r="5211" spans="1:16" ht="15.7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</row>
    <row r="5212" spans="1:16" ht="15.7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</row>
    <row r="5213" spans="1:16" ht="15.7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</row>
    <row r="5214" spans="1:16" ht="15.7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</row>
    <row r="5215" spans="1:16" ht="15.7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</row>
    <row r="5216" spans="1:16" ht="15.7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</row>
    <row r="5217" spans="1:16" ht="15.7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</row>
    <row r="5218" spans="1:16" ht="15.7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</row>
    <row r="5219" spans="1:16" ht="15.7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</row>
    <row r="5220" spans="1:16" ht="15.7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</row>
    <row r="5221" spans="1:16" ht="15.7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</row>
    <row r="5222" spans="1:16" ht="15.7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</row>
    <row r="5223" spans="1:16" ht="15.7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</row>
    <row r="5224" spans="1:16" ht="15.7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</row>
    <row r="5225" spans="1:16" ht="15.7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</row>
    <row r="5226" spans="1:16" ht="15.7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</row>
    <row r="5227" spans="1:16" ht="15.7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</row>
    <row r="5228" spans="1:16" ht="15.7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</row>
    <row r="5229" spans="1:16" ht="15.7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</row>
    <row r="5230" spans="1:16" ht="15.7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</row>
    <row r="5231" spans="1:16" ht="15.7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</row>
    <row r="5232" spans="1:16" ht="15.7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</row>
    <row r="5233" spans="1:16" ht="15.7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</row>
    <row r="5234" spans="1:16" ht="15.7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</row>
    <row r="5235" spans="1:16" ht="15.7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</row>
    <row r="5236" spans="1:16" ht="15.7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</row>
    <row r="5237" spans="1:16" ht="15.7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</row>
    <row r="5238" spans="1:16" ht="15.7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</row>
    <row r="5239" spans="1:16" ht="15.7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</row>
    <row r="5240" spans="1:16" ht="15.7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</row>
    <row r="5241" spans="1:16" ht="15.7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</row>
    <row r="5242" spans="1:16" ht="15.7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</row>
    <row r="5243" spans="1:16" ht="15.7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</row>
    <row r="5244" spans="1:16" ht="15.7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</row>
    <row r="5245" spans="1:16" ht="15.7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</row>
    <row r="5246" spans="1:16" ht="15.7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</row>
    <row r="5247" spans="1:16" ht="15.7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</row>
    <row r="5248" spans="1:16" ht="15.7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</row>
    <row r="5249" spans="1:16" ht="15.7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</row>
    <row r="5250" spans="1:16" ht="15.7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</row>
    <row r="5251" spans="1:16" ht="15.7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</row>
    <row r="5252" spans="1:16" ht="15.7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</row>
    <row r="5253" spans="1:16" ht="15.7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</row>
    <row r="5254" spans="1:16" ht="15.7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</row>
    <row r="5255" spans="1:16" ht="15.7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</row>
    <row r="5256" spans="1:16" ht="15.7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</row>
    <row r="5257" spans="1:16" ht="15.7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</row>
    <row r="5258" spans="1:16" ht="15.7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</row>
    <row r="5259" spans="1:16" ht="15.7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</row>
    <row r="5260" spans="1:16" ht="15.7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</row>
    <row r="5261" spans="1:16" ht="15.7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</row>
    <row r="5262" spans="1:16" ht="15.7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</row>
    <row r="5263" spans="1:16" ht="15.7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</row>
    <row r="5264" spans="1:16" ht="15.7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</row>
    <row r="5265" spans="1:16" ht="15.7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</row>
    <row r="5266" spans="1:16" ht="15.7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</row>
    <row r="5267" spans="1:16" ht="15.7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</row>
    <row r="5268" spans="1:16" ht="15.7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</row>
    <row r="5269" spans="1:16" ht="15.7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</row>
    <row r="5270" spans="1:16" ht="15.7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</row>
    <row r="5271" spans="1:16" ht="15.7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</row>
    <row r="5272" spans="1:16" ht="15.7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</row>
    <row r="5273" spans="1:16" ht="15.7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</row>
    <row r="5274" spans="1:16" ht="15.7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</row>
    <row r="5275" spans="1:16" ht="15.7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</row>
    <row r="5276" spans="1:16" ht="15.7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</row>
    <row r="5277" spans="1:16" ht="15.7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</row>
    <row r="5278" spans="1:16" ht="15.7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</row>
    <row r="5279" spans="1:16" ht="15.7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</row>
    <row r="5280" spans="1:16" ht="15.7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</row>
    <row r="5281" spans="1:16" ht="15.7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</row>
    <row r="5282" spans="1:16" ht="15.7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</row>
    <row r="5283" spans="1:16" ht="15.7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</row>
    <row r="5284" spans="1:16" ht="15.7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</row>
    <row r="5285" spans="1:16" ht="15.7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</row>
    <row r="5286" spans="1:16" ht="15.7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</row>
    <row r="5287" spans="1:16" ht="15.7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</row>
    <row r="5288" spans="1:16" ht="15.7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</row>
    <row r="5289" spans="1:16" ht="15.7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</row>
    <row r="5290" spans="1:16" ht="15.7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</row>
    <row r="5291" spans="1:16" ht="15.7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</row>
    <row r="5292" spans="1:16" ht="15.7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</row>
    <row r="5293" spans="1:16" ht="15.7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</row>
    <row r="5294" spans="1:16" ht="15.7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</row>
    <row r="5295" spans="1:16" ht="15.7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</row>
    <row r="5296" spans="1:16" ht="15.7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</row>
    <row r="5297" spans="1:16" ht="15.7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</row>
    <row r="5298" spans="1:16" ht="15.7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</row>
    <row r="5299" spans="1:16" ht="15.7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</row>
    <row r="5300" spans="1:16" ht="15.7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</row>
    <row r="5301" spans="1:16" ht="15.7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</row>
    <row r="5302" spans="1:16" ht="15.7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</row>
    <row r="5303" spans="1:16" ht="15.7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</row>
    <row r="5304" spans="1:16" ht="15.7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</row>
    <row r="5305" spans="1:16" ht="15.7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</row>
    <row r="5306" spans="1:16" ht="15.7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</row>
    <row r="5307" spans="1:16" ht="15.7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</row>
    <row r="5308" spans="1:16" ht="15.7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</row>
    <row r="5309" spans="1:16" ht="15.7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</row>
    <row r="5310" spans="1:16" ht="15.7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</row>
    <row r="5311" spans="1:16" ht="15.7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</row>
    <row r="5312" spans="1:16" ht="15.7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</row>
    <row r="5313" spans="1:16" ht="15.7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</row>
    <row r="5314" spans="1:16" ht="15.7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</row>
    <row r="5315" spans="1:16" ht="15.7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</row>
    <row r="5316" spans="1:16" ht="15.7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</row>
    <row r="5317" spans="1:16" ht="15.7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</row>
    <row r="5318" spans="1:16" ht="15.7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</row>
    <row r="5319" spans="1:16" ht="15.7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</row>
    <row r="5320" spans="1:16" ht="15.7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</row>
    <row r="5321" spans="1:16" ht="15.7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</row>
    <row r="5322" spans="1:16" ht="15.7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</row>
    <row r="5323" spans="1:16" ht="15.7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</row>
    <row r="5324" spans="1:16" ht="15.7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</row>
    <row r="5325" spans="1:16" ht="15.7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</row>
    <row r="5326" spans="1:16" ht="15.7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</row>
    <row r="5327" spans="1:16" ht="15.7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</row>
    <row r="5328" spans="1:16" ht="15.7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</row>
    <row r="5329" spans="1:16" ht="15.7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</row>
    <row r="5330" spans="1:16" ht="15.7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</row>
    <row r="5331" spans="1:16" ht="15.7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</row>
    <row r="5332" spans="1:16" ht="15.7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</row>
    <row r="5333" spans="1:16" ht="15.7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</row>
    <row r="5334" spans="1:16" ht="15.7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</row>
    <row r="5335" spans="1:16" ht="15.7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</row>
    <row r="5336" spans="1:16" ht="15.7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</row>
    <row r="5337" spans="1:16" ht="15.7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</row>
    <row r="5338" spans="1:16" ht="15.7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</row>
    <row r="5339" spans="1:16" ht="15.7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</row>
    <row r="5340" spans="1:16" ht="15.7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</row>
    <row r="5341" spans="1:16" ht="15.7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</row>
    <row r="5342" spans="1:16" ht="15.7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</row>
    <row r="5343" spans="1:16" ht="15.7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</row>
    <row r="5344" spans="1:16" ht="15.7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</row>
    <row r="5345" spans="1:16" ht="15.7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</row>
    <row r="5346" spans="1:16" ht="15.7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</row>
    <row r="5347" spans="1:16" ht="15.7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</row>
    <row r="5348" spans="1:16" ht="15.7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</row>
    <row r="5349" spans="1:16" ht="15.7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</row>
    <row r="5350" spans="1:16" ht="15.7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</row>
    <row r="5351" spans="1:16" ht="15.7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</row>
    <row r="5352" spans="1:16" ht="15.7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</row>
    <row r="5353" spans="1:16" ht="15.7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</row>
    <row r="5354" spans="1:16" ht="15.7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</row>
    <row r="5355" spans="1:16" ht="15.7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</row>
    <row r="5356" spans="1:16" ht="15.7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</row>
    <row r="5357" spans="1:16" ht="15.7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</row>
    <row r="5358" spans="1:16" ht="15.7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</row>
    <row r="5359" spans="1:16" ht="15.7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</row>
    <row r="5360" spans="1:16" ht="15.7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</row>
    <row r="5361" spans="1:16" ht="15.7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</row>
    <row r="5362" spans="1:16" ht="15.7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</row>
    <row r="5363" spans="1:16" ht="15.7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</row>
    <row r="5364" spans="1:16" ht="15.7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</row>
    <row r="5365" spans="1:16" ht="15.7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</row>
    <row r="5366" spans="1:16" ht="15.7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</row>
    <row r="5367" spans="1:16" ht="15.7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</row>
    <row r="5368" spans="1:16" ht="15.7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</row>
    <row r="5369" spans="1:16" ht="15.7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</row>
    <row r="5370" spans="1:16" ht="15.7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</row>
    <row r="5371" spans="1:16" ht="15.7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</row>
    <row r="5372" spans="1:16" ht="15.7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</row>
    <row r="5373" spans="1:16" ht="15.7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</row>
    <row r="5374" spans="1:16" ht="15.7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</row>
    <row r="5375" spans="1:16" ht="15.7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</row>
    <row r="5376" spans="1:16" ht="15.7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</row>
    <row r="5377" spans="1:16" ht="15.7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</row>
    <row r="5378" spans="1:16" ht="15.7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</row>
    <row r="5379" spans="1:16" ht="15.7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</row>
    <row r="5380" spans="1:16" ht="15.7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</row>
    <row r="5381" spans="1:16" ht="15.7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</row>
    <row r="5382" spans="1:16" ht="15.7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</row>
    <row r="5383" spans="1:16" ht="15.7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</row>
    <row r="5384" spans="1:16" ht="15.7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</row>
    <row r="5385" spans="1:16" ht="15.7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</row>
    <row r="5386" spans="1:16" ht="15.7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</row>
    <row r="5387" spans="1:16" ht="15.7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</row>
    <row r="5388" spans="1:16" ht="15.7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</row>
    <row r="5389" spans="1:16" ht="15.7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</row>
    <row r="5390" spans="1:16" ht="15.7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</row>
    <row r="5391" spans="1:16" ht="15.7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</row>
    <row r="5392" spans="1:16" ht="15.7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</row>
    <row r="5393" spans="1:16" ht="15.7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</row>
    <row r="5394" spans="1:16" ht="15.7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</row>
    <row r="5395" spans="1:16" ht="15.7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</row>
    <row r="5396" spans="1:16" ht="15.7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</row>
    <row r="5397" spans="1:16" ht="15.7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</row>
    <row r="5398" spans="1:16" ht="15.7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</row>
    <row r="5399" spans="1:16" ht="15.7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</row>
    <row r="5400" spans="1:16" ht="15.7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</row>
    <row r="5401" spans="1:16" ht="15.7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</row>
    <row r="5402" spans="1:16" ht="15.7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</row>
    <row r="5403" spans="1:16" ht="15.7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</row>
    <row r="5404" spans="1:16" ht="15.7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</row>
    <row r="5405" spans="1:16" ht="15.7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</row>
    <row r="5406" spans="1:16" ht="15.7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</row>
    <row r="5407" spans="1:16" ht="15.7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</row>
    <row r="5408" spans="1:16" ht="15.7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</row>
    <row r="5409" spans="1:16" ht="15.7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</row>
    <row r="5410" spans="1:16" ht="15.7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</row>
    <row r="5411" spans="1:16" ht="15.7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</row>
    <row r="5412" spans="1:16" ht="15.7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</row>
    <row r="5413" spans="1:16" ht="15.7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</row>
    <row r="5414" spans="1:16" ht="15.7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</row>
    <row r="5415" spans="1:16" ht="15.7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</row>
    <row r="5416" spans="1:16" ht="15.7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</row>
    <row r="5417" spans="1:16" ht="15.7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</row>
    <row r="5418" spans="1:16" ht="15.7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</row>
    <row r="5419" spans="1:16" ht="15.7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</row>
    <row r="5420" spans="1:16" ht="15.7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</row>
    <row r="5421" spans="1:16" ht="15.7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</row>
    <row r="5422" spans="1:16" ht="15.7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</row>
    <row r="5423" spans="1:16" ht="15.7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</row>
    <row r="5424" spans="1:16" ht="15.7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</row>
    <row r="5425" spans="1:16" ht="15.7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</row>
    <row r="5426" spans="1:16" ht="15.7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</row>
    <row r="5427" spans="1:16" ht="15.7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</row>
    <row r="5428" spans="1:16" ht="15.7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</row>
    <row r="5429" spans="1:16" ht="15.7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</row>
    <row r="5430" spans="1:16" ht="15.7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</row>
    <row r="5431" spans="1:16" ht="15.7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</row>
    <row r="5432" spans="1:16" ht="15.7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</row>
    <row r="5433" spans="1:16" ht="15.7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</row>
    <row r="5434" spans="1:16" ht="15.7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</row>
    <row r="5435" spans="1:16" ht="15.7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</row>
    <row r="5436" spans="1:16" ht="15.7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</row>
    <row r="5437" spans="1:16" ht="15.7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</row>
    <row r="5438" spans="1:16" ht="15.7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</row>
    <row r="5439" spans="1:16" ht="15.7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</row>
    <row r="5440" spans="1:16" ht="15.7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</row>
    <row r="5441" spans="1:16" ht="15.7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</row>
    <row r="5442" spans="1:16" ht="15.7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</row>
    <row r="5443" spans="1:16" ht="15.7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</row>
    <row r="5444" spans="1:16" ht="15.7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</row>
    <row r="5445" spans="1:16" ht="15.7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</row>
    <row r="5446" spans="1:16" ht="15.7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</row>
    <row r="5447" spans="1:16" ht="15.7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</row>
    <row r="5448" spans="1:16" ht="15.7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</row>
    <row r="5449" spans="1:16" ht="15.7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</row>
    <row r="5450" spans="1:16" ht="15.7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</row>
    <row r="5451" spans="1:16" ht="15.7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</row>
    <row r="5452" spans="1:16" ht="15.7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</row>
    <row r="5453" spans="1:16" ht="15.7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</row>
    <row r="5454" spans="1:16" ht="15.7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</row>
    <row r="5455" spans="1:16" ht="15.7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</row>
    <row r="5456" spans="1:16" ht="15.7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</row>
    <row r="5457" spans="1:16" ht="15.7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</row>
    <row r="5458" spans="1:16" ht="15.7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</row>
    <row r="5459" spans="1:16" ht="15.7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</row>
    <row r="5460" spans="1:16" ht="15.7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</row>
    <row r="5461" spans="1:16" ht="15.7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</row>
    <row r="5462" spans="1:16" ht="15.7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</row>
    <row r="5463" spans="1:16" ht="15.7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</row>
    <row r="5464" spans="1:16" ht="15.7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</row>
    <row r="5465" spans="1:16" ht="15.7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</row>
    <row r="5466" spans="1:16" ht="15.7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</row>
    <row r="5467" spans="1:16" ht="15.7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</row>
    <row r="5468" spans="1:16" ht="15.7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</row>
    <row r="5469" spans="1:16" ht="15.7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</row>
    <row r="5470" spans="1:16" ht="15.7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</row>
    <row r="5471" spans="1:16" ht="15.7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</row>
    <row r="5472" spans="1:16" ht="15.7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</row>
    <row r="5473" spans="1:16" ht="15.7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</row>
    <row r="5474" spans="1:16" ht="15.7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</row>
    <row r="5475" spans="1:16" ht="15.7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</row>
    <row r="5476" spans="1:16" ht="15.7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</row>
    <row r="5477" spans="1:16" ht="15.7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</row>
    <row r="5478" spans="1:16" ht="15.7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</row>
    <row r="5479" spans="1:16" ht="15.7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</row>
    <row r="5480" spans="1:16" ht="15.7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</row>
    <row r="5481" spans="1:16" ht="15.7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</row>
    <row r="5482" spans="1:16" ht="15.7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</row>
    <row r="5483" spans="1:16" ht="15.7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</row>
    <row r="5484" spans="1:16" ht="15.7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</row>
    <row r="5485" spans="1:16" ht="15.7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</row>
    <row r="5486" spans="1:16" ht="15.7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</row>
    <row r="5487" spans="1:16" ht="15.7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</row>
    <row r="5488" spans="1:16" ht="15.7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</row>
    <row r="5489" spans="1:16" ht="15.7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</row>
    <row r="5490" spans="1:16" ht="15.7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</row>
    <row r="5491" spans="1:16" ht="15.7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</row>
    <row r="5492" spans="1:16" ht="15.7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</row>
    <row r="5493" spans="1:16" ht="15.7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</row>
    <row r="5494" spans="1:16" ht="15.7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</row>
    <row r="5495" spans="1:16" ht="15.7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</row>
    <row r="5496" spans="1:16" ht="15.7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</row>
    <row r="5497" spans="1:16" ht="15.7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</row>
    <row r="5498" spans="1:16" ht="15.7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</row>
    <row r="5499" spans="1:16" ht="15.7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</row>
    <row r="5500" spans="1:16" ht="15.7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</row>
    <row r="5501" spans="1:16" ht="15.7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</row>
    <row r="5502" spans="1:16" ht="15.7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</row>
    <row r="5503" spans="1:16" ht="15.7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</row>
    <row r="5504" spans="1:16" ht="15.7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</row>
    <row r="5505" spans="1:16" ht="15.7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</row>
    <row r="5506" spans="1:16" ht="15.7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</row>
    <row r="5507" spans="1:16" ht="15.7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</row>
    <row r="5508" spans="1:16" ht="15.7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</row>
    <row r="5509" spans="1:16" ht="15.7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</row>
    <row r="5510" spans="1:16" ht="15.7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</row>
    <row r="5511" spans="1:16" ht="15.7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</row>
    <row r="5512" spans="1:16" ht="15.7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</row>
    <row r="5513" spans="1:16" ht="15.7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</row>
    <row r="5514" spans="1:16" ht="15.7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</row>
    <row r="5515" spans="1:16" ht="15.7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</row>
    <row r="5516" spans="1:16" ht="15.7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</row>
    <row r="5517" spans="1:16" ht="15.7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</row>
    <row r="5518" spans="1:16" ht="15.7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</row>
    <row r="5519" spans="1:16" ht="15.7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</row>
    <row r="5520" spans="1:16" ht="15.7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</row>
    <row r="5521" spans="1:16" ht="15.7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</row>
    <row r="5522" spans="1:16" ht="15.7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</row>
    <row r="5523" spans="1:16" ht="15.7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</row>
    <row r="5524" spans="1:16" ht="15.7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</row>
    <row r="5525" spans="1:16" ht="15.7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</row>
    <row r="5526" spans="1:16" ht="15.7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</row>
    <row r="5527" spans="1:16" ht="15.7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</row>
    <row r="5528" spans="1:16" ht="15.7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</row>
    <row r="5529" spans="1:16" ht="15.7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</row>
    <row r="5530" spans="1:16" ht="15.7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</row>
    <row r="5531" spans="1:16" ht="15.7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</row>
    <row r="5532" spans="1:16" ht="15.7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</row>
    <row r="5533" spans="1:16" ht="15.7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</row>
    <row r="5534" spans="1:16" ht="15.7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</row>
    <row r="5535" spans="1:16" ht="15.7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</row>
    <row r="5536" spans="1:16" ht="15.7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</row>
    <row r="5537" spans="1:16" ht="15.7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</row>
    <row r="5538" spans="1:16" ht="15.7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</row>
    <row r="5539" spans="1:16" ht="15.7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</row>
    <row r="5540" spans="1:16" ht="15.7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</row>
    <row r="5541" spans="1:16" ht="15.7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</row>
    <row r="5542" spans="1:16" ht="15.7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</row>
    <row r="5543" spans="1:16" ht="15.7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</row>
    <row r="5544" spans="1:16" ht="15.7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</row>
    <row r="5545" spans="1:16" ht="15.7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</row>
    <row r="5546" spans="1:16" ht="15.7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</row>
    <row r="5547" spans="1:16" ht="15.7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</row>
    <row r="5548" spans="1:16" ht="15.7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</row>
    <row r="5549" spans="1:16" ht="15.7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</row>
    <row r="5550" spans="1:16" ht="15.7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</row>
    <row r="5551" spans="1:16" ht="15.7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</row>
    <row r="5552" spans="1:16" ht="15.7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</row>
    <row r="5553" spans="1:16" ht="15.7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</row>
    <row r="5554" spans="1:16" ht="15.7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</row>
    <row r="5555" spans="1:16" ht="15.7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</row>
    <row r="5556" spans="1:16" ht="15.7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</row>
    <row r="5557" spans="1:16" ht="15.7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</row>
    <row r="5558" spans="1:16" ht="15.7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</row>
    <row r="5559" spans="1:16" ht="15.7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</row>
    <row r="5560" spans="1:16" ht="15.7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</row>
    <row r="5561" spans="1:16" ht="15.7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</row>
    <row r="5562" spans="1:16" ht="15.7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</row>
    <row r="5563" spans="1:16" ht="15.7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</row>
    <row r="5564" spans="1:16" ht="15.7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</row>
    <row r="5565" spans="1:16" ht="15.7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</row>
    <row r="5566" spans="1:16" ht="15.7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</row>
    <row r="5567" spans="1:16" ht="15.7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</row>
    <row r="5568" spans="1:16" ht="15.7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</row>
    <row r="5569" spans="1:16" ht="15.7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</row>
    <row r="5570" spans="1:16" ht="15.7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</row>
    <row r="5571" spans="1:16" ht="15.7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</row>
    <row r="5572" spans="1:16" ht="15.7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</row>
    <row r="5573" spans="1:16" ht="15.7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</row>
    <row r="5574" spans="1:16" ht="15.7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</row>
    <row r="5575" spans="1:16" ht="15.7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</row>
    <row r="5576" spans="1:16" ht="15.7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</row>
    <row r="5577" spans="1:16" ht="15.7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</row>
    <row r="5578" spans="1:16" ht="15.7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</row>
    <row r="5579" spans="1:16" ht="15.7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</row>
    <row r="5580" spans="1:16" ht="15.7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</row>
    <row r="5581" spans="1:16" ht="15.7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</row>
    <row r="5582" spans="1:16" ht="15.7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</row>
    <row r="5583" spans="1:16" ht="15.7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</row>
    <row r="5584" spans="1:16" ht="15.7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</row>
    <row r="5585" spans="1:16" ht="15.7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</row>
    <row r="5586" spans="1:16" ht="15.7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</row>
    <row r="5587" spans="1:16" ht="15.7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</row>
    <row r="5588" spans="1:16" ht="15.7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</row>
    <row r="5589" spans="1:16" ht="15.7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</row>
    <row r="5590" spans="1:16" ht="15.7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</row>
    <row r="5591" spans="1:16" ht="15.7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</row>
    <row r="5592" spans="1:16" ht="15.7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</row>
    <row r="5593" spans="1:16" ht="15.7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</row>
    <row r="5594" spans="1:16" ht="15.7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</row>
    <row r="5595" spans="1:16" ht="15.7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</row>
    <row r="5596" spans="1:16" ht="15.7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</row>
    <row r="5597" spans="1:16" ht="15.7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</row>
    <row r="5598" spans="1:16" ht="15.7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</row>
    <row r="5599" spans="1:16" ht="15.7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</row>
    <row r="5600" spans="1:16" ht="15.7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</row>
    <row r="5601" spans="1:16" ht="15.7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</row>
    <row r="5602" spans="1:16" ht="15.7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</row>
    <row r="5603" spans="1:16" ht="15.7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</row>
    <row r="5604" spans="1:16" ht="15.7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</row>
    <row r="5605" spans="1:16" ht="15.7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</row>
    <row r="5606" spans="1:16" ht="15.7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</row>
    <row r="5607" spans="1:16" ht="15.7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</row>
    <row r="5608" spans="1:16" ht="15.7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</row>
    <row r="5609" spans="1:16" ht="15.7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</row>
    <row r="5610" spans="1:16" ht="15.7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</row>
    <row r="5611" spans="1:16" ht="15.7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</row>
    <row r="5612" spans="1:16" ht="15.7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</row>
    <row r="5613" spans="1:16" ht="15.7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</row>
    <row r="5614" spans="1:16" ht="15.7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</row>
    <row r="5615" spans="1:16" ht="15.7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</row>
    <row r="5616" spans="1:16" ht="15.7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</row>
    <row r="5617" spans="1:16" ht="15.7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</row>
    <row r="5618" spans="1:16" ht="15.7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</row>
    <row r="5619" spans="1:16" ht="15.7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</row>
    <row r="5620" spans="1:16" ht="15.7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</row>
    <row r="5621" spans="1:16" ht="15.7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</row>
    <row r="5622" spans="1:16" ht="15.7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</row>
    <row r="5623" spans="1:16" ht="15.7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</row>
    <row r="5624" spans="1:16" ht="15.7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</row>
    <row r="5625" spans="1:16" ht="15.7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</row>
    <row r="5626" spans="1:16" ht="15.7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</row>
    <row r="5627" spans="1:16" ht="15.7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</row>
    <row r="5628" spans="1:16" ht="15.7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</row>
    <row r="5629" spans="1:16" ht="15.7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</row>
    <row r="5630" spans="1:16" ht="15.7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</row>
    <row r="5631" spans="1:16" ht="15.7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</row>
    <row r="5632" spans="1:16" ht="15.7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</row>
    <row r="5633" spans="1:16" ht="15.7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</row>
    <row r="5634" spans="1:16" ht="15.7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</row>
    <row r="5635" spans="1:16" ht="15.7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</row>
    <row r="5636" spans="1:16" ht="15.7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</row>
    <row r="5637" spans="1:16" ht="15.7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</row>
    <row r="5638" spans="1:16" ht="15.7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</row>
    <row r="5639" spans="1:16" ht="15.7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</row>
    <row r="5640" spans="1:16" ht="15.7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</row>
    <row r="5641" spans="1:16" ht="15.7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</row>
    <row r="5642" spans="1:16" ht="15.7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</row>
    <row r="5643" spans="1:16" ht="15.7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</row>
    <row r="5644" spans="1:16" ht="15.7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</row>
    <row r="5645" spans="1:16" ht="15.7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</row>
    <row r="5646" spans="1:16" ht="15.7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</row>
    <row r="5647" spans="1:16" ht="15.7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</row>
    <row r="5648" spans="1:16" ht="15.7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</row>
    <row r="5649" spans="1:16" ht="15.7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</row>
    <row r="5650" spans="1:16" ht="15.7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</row>
    <row r="5651" spans="1:16" ht="15.7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</row>
    <row r="5652" spans="1:16" ht="15.7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</row>
    <row r="5653" spans="1:16" ht="15.7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</row>
    <row r="5654" spans="1:16" ht="15.7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</row>
    <row r="5655" spans="1:16" ht="15.7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</row>
    <row r="5656" spans="1:16" ht="15.7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</row>
    <row r="5657" spans="1:16" ht="15.7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</row>
    <row r="5658" spans="1:16" ht="15.7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</row>
    <row r="5659" spans="1:16" ht="15.7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</row>
    <row r="5660" spans="1:16" ht="15.7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</row>
    <row r="5661" spans="1:16" ht="15.7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</row>
    <row r="5662" spans="1:16" ht="15.7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</row>
    <row r="5663" spans="1:16" ht="15.7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</row>
    <row r="5664" spans="1:16" ht="15.7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</row>
    <row r="5665" spans="1:16" ht="15.7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</row>
    <row r="5666" spans="1:16" ht="15.7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</row>
    <row r="5667" spans="1:16" ht="15.7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</row>
    <row r="5668" spans="1:16" ht="15.7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</row>
    <row r="5669" spans="1:16" ht="15.7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</row>
    <row r="5670" spans="1:16" ht="15.7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</row>
    <row r="5671" spans="1:16" ht="15.7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</row>
    <row r="5672" spans="1:16" ht="15.7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</row>
    <row r="5673" spans="1:16" ht="15.7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</row>
    <row r="5674" spans="1:16" ht="15.7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</row>
    <row r="5675" spans="1:16" ht="15.7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</row>
    <row r="5676" spans="1:16" ht="15.7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</row>
    <row r="5677" spans="1:16" ht="15.7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</row>
    <row r="5678" spans="1:16" ht="15.7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</row>
    <row r="5679" spans="1:16" ht="15.7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</row>
    <row r="5680" spans="1:16" ht="15.7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</row>
    <row r="5681" spans="1:16" ht="15.7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</row>
    <row r="5682" spans="1:16" ht="15.7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</row>
    <row r="5683" spans="1:16" ht="15.7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</row>
    <row r="5684" spans="1:16" ht="15.7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</row>
    <row r="5685" spans="1:16" ht="15.7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</row>
    <row r="5686" spans="1:16" ht="15.7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</row>
    <row r="5687" spans="1:16" ht="15.7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</row>
    <row r="5688" spans="1:16" ht="15.7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</row>
    <row r="5689" spans="1:16" ht="15.7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</row>
    <row r="5690" spans="1:16" ht="15.7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</row>
    <row r="5691" spans="1:16" ht="15.7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</row>
    <row r="5692" spans="1:16" ht="15.7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</row>
    <row r="5693" spans="1:16" ht="15.7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</row>
    <row r="5694" spans="1:16" ht="15.7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</row>
    <row r="5695" spans="1:16" ht="15.7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</row>
    <row r="5696" spans="1:16" ht="15.7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</row>
    <row r="5697" spans="1:16" ht="15.7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</row>
    <row r="5698" spans="1:16" ht="15.7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</row>
    <row r="5699" spans="1:16" ht="15.7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</row>
    <row r="5700" spans="1:16" ht="15.7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</row>
    <row r="5701" spans="1:16" ht="15.7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</row>
    <row r="5702" spans="1:16" ht="15.7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</row>
    <row r="5703" spans="1:16" ht="15.7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</row>
    <row r="5704" spans="1:16" ht="15.7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</row>
    <row r="5705" spans="1:16" ht="15.7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</row>
    <row r="5706" spans="1:16" ht="15.7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</row>
    <row r="5707" spans="1:16" ht="15.7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</row>
    <row r="5708" spans="1:16" ht="15.7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</row>
    <row r="5709" spans="1:16" ht="15.7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</row>
    <row r="5710" spans="1:16" ht="15.7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</row>
    <row r="5711" spans="1:16" ht="15.7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</row>
    <row r="5712" spans="1:16" ht="15.7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</row>
    <row r="5713" spans="1:16" ht="15.7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</row>
    <row r="5714" spans="1:16" ht="15.7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</row>
    <row r="5715" spans="1:16" ht="15.7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</row>
    <row r="5716" spans="1:16" ht="15.7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</row>
    <row r="5717" spans="1:16" ht="15.7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</row>
    <row r="5718" spans="1:16" ht="15.7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</row>
    <row r="5719" spans="1:16" ht="15.7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</row>
    <row r="5720" spans="1:16" ht="15.7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</row>
    <row r="5721" spans="1:16" ht="15.7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</row>
    <row r="5722" spans="1:16" ht="15.7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</row>
    <row r="5723" spans="1:16" ht="15.7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</row>
    <row r="5724" spans="1:16" ht="15.7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</row>
    <row r="5725" spans="1:16" ht="15.7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</row>
    <row r="5726" spans="1:16" ht="15.7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</row>
    <row r="5727" spans="1:16" ht="15.7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</row>
    <row r="5728" spans="1:16" ht="15.7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</row>
    <row r="5729" spans="1:16" ht="15.7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</row>
    <row r="5730" spans="1:16" ht="15.7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</row>
    <row r="5731" spans="1:16" ht="15.7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</row>
    <row r="5732" spans="1:16" ht="15.7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</row>
    <row r="5733" spans="1:16" ht="15.7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</row>
    <row r="5734" spans="1:16" ht="15.7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</row>
    <row r="5735" spans="1:16" ht="15.7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</row>
    <row r="5736" spans="1:16" ht="15.7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</row>
    <row r="5737" spans="1:16" ht="15.7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</row>
    <row r="5738" spans="1:16" ht="15.7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</row>
    <row r="5739" spans="1:16" ht="15.7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</row>
    <row r="5740" spans="1:16" ht="15.7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</row>
    <row r="5741" spans="1:16" ht="15.7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</row>
    <row r="5742" spans="1:16" ht="15.7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</row>
    <row r="5743" spans="1:16" ht="15.7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</row>
    <row r="5744" spans="1:16" ht="15.7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</row>
    <row r="5745" spans="1:16" ht="15.7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</row>
    <row r="5746" spans="1:16" ht="15.7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</row>
    <row r="5747" spans="1:16" ht="15.7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</row>
    <row r="5748" spans="1:16" ht="15.7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</row>
    <row r="5749" spans="1:16" ht="15.7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</row>
    <row r="5750" spans="1:16" ht="15.7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</row>
    <row r="5751" spans="1:16" ht="15.7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</row>
    <row r="5752" spans="1:16" ht="15.7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</row>
    <row r="5753" spans="1:16" ht="15.7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</row>
    <row r="5754" spans="1:16" ht="15.7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</row>
    <row r="5755" spans="1:16" ht="15.7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</row>
    <row r="5756" spans="1:16" ht="15.7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</row>
    <row r="5757" spans="1:16" ht="15.7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</row>
    <row r="5758" spans="1:16" ht="15.7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</row>
    <row r="5759" spans="1:16" ht="15.7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</row>
    <row r="5760" spans="1:16" ht="15.7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</row>
    <row r="5761" spans="1:16" ht="15.7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</row>
    <row r="5762" spans="1:16" ht="15.7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</row>
    <row r="5763" spans="1:16" ht="15.7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</row>
    <row r="5764" spans="1:16" ht="15.7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</row>
    <row r="5765" spans="1:16" ht="15.7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</row>
    <row r="5766" spans="1:16" ht="15.7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</row>
    <row r="5767" spans="1:16" ht="15.7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</row>
    <row r="5768" spans="1:16" ht="15.7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</row>
    <row r="5769" spans="1:16" ht="15.7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</row>
    <row r="5770" spans="1:16" ht="15.7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</row>
    <row r="5771" spans="1:16" ht="15.7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</row>
    <row r="5772" spans="1:16" ht="15.7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</row>
    <row r="5773" spans="1:16" ht="15.7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</row>
    <row r="5774" spans="1:16" ht="15.7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</row>
    <row r="5775" spans="1:16" ht="15.7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</row>
    <row r="5776" spans="1:16" ht="15.7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</row>
    <row r="5777" spans="1:16" ht="15.7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</row>
    <row r="5778" spans="1:16" ht="15.7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</row>
    <row r="5779" spans="1:16" ht="15.7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</row>
    <row r="5780" spans="1:16" ht="15.7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</row>
    <row r="5781" spans="1:16" ht="15.7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</row>
    <row r="5782" spans="1:16" ht="15.7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</row>
    <row r="5783" spans="1:16" ht="15.7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</row>
    <row r="5784" spans="1:16" ht="15.7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</row>
    <row r="5785" spans="1:16" ht="15.7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</row>
    <row r="5786" spans="1:16" ht="15.7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</row>
    <row r="5787" spans="1:16" ht="15.7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</row>
    <row r="5788" spans="1:16" ht="15.7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</row>
    <row r="5789" spans="1:16" ht="15.7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</row>
    <row r="5790" spans="1:16" ht="15.7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</row>
    <row r="5791" spans="1:16" ht="15.7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</row>
    <row r="5792" spans="1:16" ht="15.7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</row>
    <row r="5793" spans="1:16" ht="15.7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</row>
    <row r="5794" spans="1:16" ht="15.7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</row>
    <row r="5795" spans="1:16" ht="15.7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</row>
    <row r="5796" spans="1:16" ht="15.7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</row>
    <row r="5797" spans="1:16" ht="15.7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</row>
    <row r="5798" spans="1:16" ht="15.7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</row>
    <row r="5799" spans="1:16" ht="15.7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</row>
    <row r="5800" spans="1:16" ht="15.7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</row>
    <row r="5801" spans="1:16" ht="15.7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</row>
    <row r="5802" spans="1:16" ht="15.7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</row>
    <row r="5803" spans="1:16" ht="15.7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</row>
    <row r="5804" spans="1:16" ht="15.7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</row>
    <row r="5805" spans="1:16" ht="15.7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</row>
    <row r="5806" spans="1:16" ht="15.7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</row>
    <row r="5807" spans="1:16" ht="15.7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</row>
    <row r="5808" spans="1:16" ht="15.7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</row>
    <row r="5809" spans="1:16" ht="15.7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</row>
    <row r="5810" spans="1:16" ht="15.7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</row>
    <row r="5811" spans="1:16" ht="15.7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</row>
    <row r="5812" spans="1:16" ht="15.7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</row>
    <row r="5813" spans="1:16" ht="15.7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</row>
    <row r="5814" spans="1:16" ht="15.7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</row>
    <row r="5815" spans="1:16" ht="15.7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</row>
    <row r="5816" spans="1:16" ht="15.7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</row>
    <row r="5817" spans="1:16" ht="15.7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</row>
    <row r="5818" spans="1:16" ht="15.7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</row>
    <row r="5819" spans="1:16" ht="15.7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</row>
    <row r="5820" spans="1:16" ht="15.7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</row>
    <row r="5821" spans="1:16" ht="15.7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</row>
    <row r="5822" spans="1:16" ht="15.7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</row>
    <row r="5823" spans="1:16" ht="15.7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</row>
    <row r="5824" spans="1:16" ht="15.7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</row>
    <row r="5825" spans="1:16" ht="15.7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</row>
    <row r="5826" spans="1:16" ht="15.7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</row>
    <row r="5827" spans="1:16" ht="15.7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</row>
    <row r="5828" spans="1:16" ht="15.7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</row>
    <row r="5829" spans="1:16" ht="15.7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</row>
    <row r="5830" spans="1:16" ht="15.7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</row>
    <row r="5831" spans="1:16" ht="15.7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</row>
    <row r="5832" spans="1:16" ht="15.7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</row>
    <row r="5833" spans="1:16" ht="15.7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</row>
    <row r="5834" spans="1:16" ht="15.7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</row>
    <row r="5835" spans="1:16" ht="15.7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</row>
    <row r="5836" spans="1:16" ht="15.7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</row>
    <row r="5837" spans="1:16" ht="15.7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</row>
    <row r="5838" spans="1:16" ht="15.7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</row>
    <row r="5839" spans="1:16" ht="15.7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</row>
    <row r="5840" spans="1:16" ht="15.7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</row>
    <row r="5841" spans="1:16" ht="15.7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</row>
    <row r="5842" spans="1:16" ht="15.7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</row>
    <row r="5843" spans="1:16" ht="15.7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</row>
    <row r="5844" spans="1:16" ht="15.7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</row>
    <row r="5845" spans="1:16" ht="15.7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</row>
    <row r="5846" spans="1:16" ht="15.7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</row>
    <row r="5847" spans="1:16" ht="15.7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</row>
    <row r="5848" spans="1:16" ht="15.7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</row>
    <row r="5849" spans="1:16" ht="15.7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</row>
    <row r="5850" spans="1:16" ht="15.7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</row>
    <row r="5851" spans="1:16" ht="15.7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</row>
    <row r="5852" spans="1:16" ht="15.7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</row>
    <row r="5853" spans="1:16" ht="15.7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</row>
    <row r="5854" spans="1:16" ht="15.7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</row>
    <row r="5855" spans="1:16" ht="15.7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</row>
    <row r="5856" spans="1:16" ht="15.7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</row>
    <row r="5857" spans="1:16" ht="15.7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</row>
    <row r="5858" spans="1:16" ht="15.7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</row>
    <row r="5859" spans="1:16" ht="15.7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</row>
    <row r="5860" spans="1:16" ht="15.7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</row>
    <row r="5861" spans="1:16" ht="15.7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</row>
    <row r="5862" spans="1:16" ht="15.7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</row>
    <row r="5863" spans="1:16" ht="15.7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</row>
    <row r="5864" spans="1:16" ht="15.7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</row>
    <row r="5865" spans="1:16" ht="15.7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</row>
    <row r="5866" spans="1:16" ht="15.7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</row>
    <row r="5867" spans="1:16" ht="15.7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</row>
    <row r="5868" spans="1:16" ht="15.7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</row>
    <row r="5869" spans="1:16" ht="15.7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</row>
    <row r="5870" spans="1:16" ht="15.7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</row>
    <row r="5871" spans="1:16" ht="15.7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</row>
    <row r="5872" spans="1:16" ht="15.7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</row>
    <row r="5873" spans="1:16" ht="15.7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</row>
    <row r="5874" spans="1:16" ht="15.7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</row>
    <row r="5875" spans="1:16" ht="15.7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</row>
    <row r="5876" spans="1:16" ht="15.7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</row>
    <row r="5877" spans="1:16" ht="15.7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</row>
    <row r="5878" spans="1:16" ht="15.7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</row>
    <row r="5879" spans="1:16" ht="15.7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</row>
    <row r="5880" spans="1:16" ht="15.7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</row>
    <row r="5881" spans="1:16" ht="15.7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</row>
    <row r="5882" spans="1:16" ht="15.7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</row>
    <row r="5883" spans="1:16" ht="15.7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</row>
    <row r="5884" spans="1:16" ht="15.7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</row>
    <row r="5885" spans="1:16" ht="15.7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</row>
    <row r="5886" spans="1:16" ht="15.7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</row>
    <row r="5887" spans="1:16" ht="15.7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</row>
    <row r="5888" spans="1:16" ht="15.7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</row>
    <row r="5889" spans="1:16" ht="15.7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</row>
    <row r="5890" spans="1:16" ht="15.7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</row>
    <row r="5891" spans="1:16" ht="15.7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</row>
    <row r="5892" spans="1:16" ht="15.7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</row>
    <row r="5893" spans="1:16" ht="15.7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</row>
    <row r="5894" spans="1:16" ht="15.7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</row>
    <row r="5895" spans="1:16" ht="15.7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</row>
    <row r="5896" spans="1:16" ht="15.7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</row>
    <row r="5897" spans="1:16" ht="15.7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</row>
    <row r="5898" spans="1:16" ht="15.7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</row>
    <row r="5899" spans="1:16" ht="15.7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</row>
    <row r="5900" spans="1:16" ht="15.7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</row>
    <row r="5901" spans="1:16" ht="15.7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</row>
    <row r="5902" spans="1:16" ht="15.7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</row>
    <row r="5903" spans="1:16" ht="15.7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</row>
    <row r="5904" spans="1:16" ht="15.7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</row>
    <row r="5905" spans="1:16" ht="15.7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</row>
    <row r="5906" spans="1:16" ht="15.7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</row>
    <row r="5907" spans="1:16" ht="15.7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</row>
    <row r="5908" spans="1:16" ht="15.7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</row>
    <row r="5909" spans="1:16" ht="15.7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</row>
    <row r="5910" spans="1:16" ht="15.7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</row>
    <row r="5911" spans="1:16" ht="15.7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</row>
    <row r="5912" spans="1:16" ht="15.7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</row>
    <row r="5913" spans="1:16" ht="15.7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</row>
    <row r="5914" spans="1:16" ht="15.7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</row>
    <row r="5915" spans="1:16" ht="15.7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</row>
    <row r="5916" spans="1:16" ht="15.7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</row>
    <row r="5917" spans="1:16" ht="15.7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</row>
    <row r="5918" spans="1:16" ht="15.7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</row>
    <row r="5919" spans="1:16" ht="15.7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</row>
    <row r="5920" spans="1:16" ht="15.7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</row>
    <row r="5921" spans="1:16" ht="15.7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</row>
    <row r="5922" spans="1:16" ht="15.7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</row>
    <row r="5923" spans="1:16" ht="15.7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</row>
    <row r="5924" spans="1:16" ht="15.7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</row>
    <row r="5925" spans="1:16" ht="15.7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</row>
    <row r="5926" spans="1:16" ht="15.7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</row>
    <row r="5927" spans="1:16" ht="15.7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</row>
    <row r="5928" spans="1:16" ht="15.7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</row>
    <row r="5929" spans="1:16" ht="15.7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</row>
    <row r="5930" spans="1:16" ht="15.7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</row>
    <row r="5931" spans="1:16" ht="15.7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</row>
    <row r="5932" spans="1:16" ht="15.7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</row>
    <row r="5933" spans="1:16" ht="15.7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</row>
    <row r="5934" spans="1:16" ht="15.7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</row>
    <row r="5935" spans="1:16" ht="15.7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</row>
    <row r="5936" spans="1:16" ht="15.7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</row>
    <row r="5937" spans="1:16" ht="15.7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</row>
    <row r="5938" spans="1:16" ht="15.7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</row>
    <row r="5939" spans="1:16" ht="15.7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</row>
    <row r="5940" spans="1:16" ht="15.7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</row>
    <row r="5941" spans="1:16" ht="15.7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</row>
    <row r="5942" spans="1:16" ht="15.7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</row>
    <row r="5943" spans="1:16" ht="15.7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</row>
    <row r="5944" spans="1:16" ht="15.7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</row>
    <row r="5945" spans="1:16" ht="15.7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</row>
    <row r="5946" spans="1:16" ht="15.7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</row>
    <row r="5947" spans="1:16" ht="15.7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</row>
    <row r="5948" spans="1:16" ht="15.7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</row>
    <row r="5949" spans="1:16" ht="15.7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</row>
    <row r="5950" spans="1:16" ht="15.7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</row>
    <row r="5951" spans="1:16" ht="15.7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</row>
    <row r="5952" spans="1:16" ht="15.7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</row>
    <row r="5953" spans="1:16" ht="15.7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</row>
    <row r="5954" spans="1:16" ht="15.7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</row>
    <row r="5955" spans="1:16" ht="15.7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</row>
    <row r="5956" spans="1:16" ht="15.7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</row>
    <row r="5957" spans="1:16" ht="15.7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</row>
    <row r="5958" spans="1:16" ht="15.7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</row>
    <row r="5959" spans="1:16" ht="15.7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</row>
    <row r="5960" spans="1:16" ht="15.7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</row>
    <row r="5961" spans="1:16" ht="15.7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</row>
    <row r="5962" spans="1:16" ht="15.7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</row>
    <row r="5963" spans="1:16" ht="15.7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</row>
    <row r="5964" spans="1:16" ht="15.7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</row>
    <row r="5965" spans="1:16" ht="15.7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</row>
    <row r="5966" spans="1:16" ht="15.7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</row>
    <row r="5967" spans="1:16" ht="15.7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</row>
    <row r="5968" spans="1:16" ht="15.7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</row>
    <row r="5969" spans="1:16" ht="15.7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</row>
    <row r="5970" spans="1:16" ht="15.7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</row>
    <row r="5971" spans="1:16" ht="15.7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</row>
    <row r="5972" spans="1:16" ht="15.7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</row>
    <row r="5973" spans="1:16" ht="15.7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</row>
    <row r="5974" spans="1:16" ht="15.7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</row>
    <row r="5975" spans="1:16" ht="15.7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</row>
    <row r="5976" spans="1:16" ht="15.7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</row>
    <row r="5977" spans="1:16" ht="15.7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</row>
    <row r="5978" spans="1:16" ht="15.7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</row>
    <row r="5979" spans="1:16" ht="15.7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</row>
    <row r="5980" spans="1:16" ht="15.7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</row>
    <row r="5981" spans="1:16" ht="15.7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</row>
    <row r="5982" spans="1:16" ht="15.7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</row>
    <row r="5983" spans="1:16" ht="15.7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</row>
    <row r="5984" spans="1:16" ht="15.7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</row>
    <row r="5985" spans="1:16" ht="15.7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</row>
    <row r="5986" spans="1:16" ht="15.7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</row>
    <row r="5987" spans="1:16" ht="15.7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</row>
    <row r="5988" spans="1:16" ht="15.7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</row>
    <row r="5989" spans="1:16" ht="15.7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</row>
    <row r="5990" spans="1:16" ht="15.7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</row>
    <row r="5991" spans="1:16" ht="15.7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</row>
    <row r="5992" spans="1:16" ht="15.7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</row>
    <row r="5993" spans="1:16" ht="15.7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</row>
    <row r="5994" spans="1:16" ht="15.7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</row>
    <row r="5995" spans="1:16" ht="15.7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</row>
    <row r="5996" spans="1:16" ht="15.7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</row>
    <row r="5997" spans="1:16" ht="15.7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</row>
    <row r="5998" spans="1:16" ht="15.7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</row>
    <row r="5999" spans="1:16" ht="15.7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</row>
    <row r="6000" spans="1:16" ht="15.7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</row>
    <row r="6001" spans="1:16" ht="15.7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</row>
    <row r="6002" spans="1:16" ht="15.7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</row>
    <row r="6003" spans="1:16" ht="15.7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</row>
    <row r="6004" spans="1:16" ht="15.7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</row>
    <row r="6005" spans="1:16" ht="15.7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</row>
    <row r="6006" spans="1:16" ht="15.7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</row>
    <row r="6007" spans="1:16" ht="15.7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</row>
    <row r="6008" spans="1:16" ht="15.7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</row>
    <row r="6009" spans="1:16" ht="15.7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</row>
    <row r="6010" spans="1:16" ht="15.7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</row>
    <row r="6011" spans="1:16" ht="15.7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</row>
    <row r="6012" spans="1:16" ht="15.7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</row>
    <row r="6013" spans="1:16" ht="15.7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</row>
    <row r="6014" spans="1:16" ht="15.7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</row>
    <row r="6015" spans="1:16" ht="15.7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</row>
    <row r="6016" spans="1:16" ht="15.7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</row>
    <row r="6017" spans="1:16" ht="15.7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</row>
    <row r="6018" spans="1:16" ht="15.7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</row>
    <row r="6019" spans="1:16" ht="15.7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</row>
    <row r="6020" spans="1:16" ht="15.7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</row>
    <row r="6021" spans="1:16" ht="15.7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</row>
    <row r="6022" spans="1:16" ht="15.7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</row>
    <row r="6023" spans="1:16" ht="15.7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</row>
    <row r="6024" spans="1:16" ht="15.7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</row>
    <row r="6025" spans="1:16" ht="15.7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</row>
    <row r="6026" spans="1:16" ht="15.7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</row>
    <row r="6027" spans="1:16" ht="15.7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</row>
    <row r="6028" spans="1:16" ht="15.7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</row>
    <row r="6029" spans="1:16" ht="15.7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</row>
    <row r="6030" spans="1:16" ht="15.7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</row>
    <row r="6031" spans="1:16" ht="15.7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</row>
    <row r="6032" spans="1:16" ht="15.7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</row>
    <row r="6033" spans="1:16" ht="15.7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</row>
    <row r="6034" spans="1:16" ht="15.7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</row>
    <row r="6035" spans="1:16" ht="15.7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</row>
    <row r="6036" spans="1:16" ht="15.7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</row>
    <row r="6037" spans="1:16" ht="15.7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</row>
    <row r="6038" spans="1:16" ht="15.7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</row>
    <row r="6039" spans="1:16" ht="15.7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</row>
    <row r="6040" spans="1:16" ht="15.7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</row>
    <row r="6041" spans="1:16" ht="15.7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</row>
    <row r="6042" spans="1:16" ht="15.7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</row>
    <row r="6043" spans="1:16" ht="15.7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</row>
    <row r="6044" spans="1:16" ht="15.7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</row>
    <row r="6045" spans="1:16" ht="15.7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</row>
    <row r="6046" spans="1:16" ht="15.7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</row>
    <row r="6047" spans="1:16" ht="15.7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</row>
    <row r="6048" spans="1:16" ht="15.7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</row>
    <row r="6049" spans="1:16" ht="15.7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</row>
    <row r="6050" spans="1:16" ht="15.7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</row>
    <row r="6051" spans="1:16" ht="15.7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</row>
    <row r="6052" spans="1:16" ht="15.7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</row>
    <row r="6053" spans="1:16" ht="15.7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</row>
    <row r="6054" spans="1:16" ht="15.7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</row>
    <row r="6055" spans="1:16" ht="15.7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</row>
    <row r="6056" spans="1:16" ht="15.7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</row>
    <row r="6057" spans="1:16" ht="15.7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</row>
    <row r="6058" spans="1:16" ht="15.7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</row>
    <row r="6059" spans="1:16" ht="15.7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</row>
    <row r="6060" spans="1:16" ht="15.7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</row>
    <row r="6061" spans="1:16" ht="15.7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</row>
    <row r="6062" spans="1:16" ht="15.7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</row>
    <row r="6063" spans="1:16" ht="15.7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</row>
    <row r="6064" spans="1:16" ht="15.7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</row>
    <row r="6065" spans="1:16" ht="15.7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</row>
    <row r="6066" spans="1:16" ht="15.7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</row>
    <row r="6067" spans="1:16" ht="15.7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</row>
    <row r="6068" spans="1:16" ht="15.7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</row>
    <row r="6069" spans="1:16" ht="15.7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</row>
    <row r="6070" spans="1:16" ht="15.7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</row>
    <row r="6071" spans="1:16" ht="15.7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</row>
    <row r="6072" spans="1:16" ht="15.7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</row>
    <row r="6073" spans="1:16" ht="15.7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</row>
    <row r="6074" spans="1:16" ht="15.7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</row>
    <row r="6075" spans="1:16" ht="15.7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</row>
    <row r="6076" spans="1:16" ht="15.7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</row>
    <row r="6077" spans="1:16" ht="15.7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</row>
    <row r="6078" spans="1:16" ht="15.7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</row>
    <row r="6079" spans="1:16" ht="15.7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</row>
    <row r="6080" spans="1:16" ht="15.7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</row>
    <row r="6081" spans="1:16" ht="15.7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</row>
    <row r="6082" spans="1:16" ht="15.7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</row>
    <row r="6083" spans="1:16" ht="15.7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</row>
    <row r="6084" spans="1:16" ht="15.7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</row>
    <row r="6085" spans="1:16" ht="15.7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</row>
    <row r="6086" spans="1:16" ht="15.7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</row>
    <row r="6087" spans="1:16" ht="15.7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</row>
    <row r="6088" spans="1:16" ht="15.7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</row>
    <row r="6089" spans="1:16" ht="15.7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</row>
    <row r="6090" spans="1:16" ht="15.7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</row>
    <row r="6091" spans="1:16" ht="15.7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</row>
    <row r="6092" spans="1:16" ht="15.7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</row>
    <row r="6093" spans="1:16" ht="15.7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</row>
    <row r="6094" spans="1:16" ht="15.7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</row>
    <row r="6095" spans="1:16" ht="15.7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</row>
    <row r="6096" spans="1:16" ht="15.7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</row>
    <row r="6097" spans="1:16" ht="15.7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</row>
    <row r="6098" spans="1:16" ht="15.7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</row>
    <row r="6099" spans="1:16" ht="15.7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</row>
    <row r="6100" spans="1:16" ht="15.7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</row>
    <row r="6101" spans="1:16" ht="15.7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</row>
    <row r="6102" spans="1:16" ht="15.7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</row>
    <row r="6103" spans="1:16" ht="15.7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</row>
    <row r="6104" spans="1:16" ht="15.7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</row>
    <row r="6105" spans="1:16" ht="15.7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</row>
    <row r="6106" spans="1:16" ht="15.7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</row>
    <row r="6107" spans="1:16" ht="15.7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</row>
    <row r="6108" spans="1:16" ht="15.7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</row>
    <row r="6109" spans="1:16" ht="15.7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</row>
    <row r="6110" spans="1:16" ht="15.7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</row>
    <row r="6111" spans="1:16" ht="15.7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</row>
    <row r="6112" spans="1:16" ht="15.7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</row>
    <row r="6113" spans="1:16" ht="15.7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</row>
    <row r="6114" spans="1:16" ht="15.7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</row>
    <row r="6115" spans="1:16" ht="15.7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</row>
    <row r="6116" spans="1:16" ht="15.7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</row>
    <row r="6117" spans="1:16" ht="15.7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</row>
    <row r="6118" spans="1:16" ht="15.7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</row>
    <row r="6119" spans="1:16" ht="15.7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</row>
    <row r="6120" spans="1:16" ht="15.7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</row>
    <row r="6121" spans="1:16" ht="15.7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</row>
    <row r="6122" spans="1:16" ht="15.7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</row>
    <row r="6123" spans="1:16" ht="15.7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</row>
    <row r="6124" spans="1:16" ht="15.7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</row>
    <row r="6125" spans="1:16" ht="15.7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</row>
    <row r="6126" spans="1:16" ht="15.7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</row>
    <row r="6127" spans="1:16" ht="15.7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</row>
    <row r="6128" spans="1:16" ht="15.7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</row>
    <row r="6129" spans="1:16" ht="15.7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</row>
    <row r="6130" spans="1:16" ht="15.7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</row>
    <row r="6131" spans="1:16" ht="15.7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</row>
    <row r="6132" spans="1:16" ht="15.7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</row>
    <row r="6133" spans="1:16" ht="15.7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</row>
    <row r="6134" spans="1:16" ht="15.7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</row>
    <row r="6135" spans="1:16" ht="15.7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</row>
    <row r="6136" spans="1:16" ht="15.7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</row>
    <row r="6137" spans="1:16" ht="15.7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</row>
    <row r="6138" spans="1:16" ht="15.7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</row>
    <row r="6139" spans="1:16" ht="15.7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</row>
    <row r="6140" spans="1:16" ht="15.7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</row>
    <row r="6141" spans="1:16" ht="15.7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</row>
    <row r="6142" spans="1:16" ht="15.7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</row>
    <row r="6143" spans="1:16" ht="15.7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</row>
    <row r="6144" spans="1:16" ht="15.7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</row>
    <row r="6145" spans="1:16" ht="15.7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</row>
    <row r="6146" spans="1:16" ht="15.7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</row>
    <row r="6147" spans="1:16" ht="15.7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</row>
    <row r="6148" spans="1:16" ht="15.7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</row>
    <row r="6149" spans="1:16" ht="15.7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</row>
    <row r="6150" spans="1:16" ht="15.7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</row>
    <row r="6151" spans="1:16" ht="15.7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</row>
    <row r="6152" spans="1:16" ht="15.7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</row>
    <row r="6153" spans="1:16" ht="15.7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</row>
    <row r="6154" spans="1:16" ht="15.7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</row>
    <row r="6155" spans="1:16" ht="15.7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</row>
    <row r="6156" spans="1:16" ht="15.7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</row>
    <row r="6157" spans="1:16" ht="15.7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</row>
    <row r="6158" spans="1:16" ht="15.7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</row>
    <row r="6159" spans="1:16" ht="15.7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</row>
    <row r="6160" spans="1:16" ht="15.7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</row>
    <row r="6161" spans="1:16" ht="15.7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</row>
    <row r="6162" spans="1:16" ht="15.7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</row>
    <row r="6163" spans="1:16" ht="15.7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</row>
    <row r="6164" spans="1:16" ht="15.7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</row>
    <row r="6165" spans="1:16" ht="15.7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</row>
    <row r="6166" spans="1:16" ht="15.7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</row>
    <row r="6167" spans="1:16" ht="15.7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</row>
    <row r="6168" spans="1:16" ht="15.7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</row>
    <row r="6169" spans="1:16" ht="15.7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</row>
    <row r="6170" spans="1:16" ht="15.7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</row>
    <row r="6171" spans="1:16" ht="15.7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</row>
    <row r="6172" spans="1:16" ht="15.7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</row>
    <row r="6173" spans="1:16" ht="15.7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</row>
    <row r="6174" spans="1:16" ht="15.7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</row>
    <row r="6175" spans="1:16" ht="15.7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</row>
    <row r="6176" spans="1:16" ht="15.7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</row>
    <row r="6177" spans="1:16" ht="15.7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</row>
    <row r="6178" spans="1:16" ht="15.7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</row>
    <row r="6179" spans="1:16" ht="15.7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</row>
    <row r="6180" spans="1:16" ht="15.7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</row>
    <row r="6181" spans="1:16" ht="15.7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</row>
    <row r="6182" spans="1:16" ht="15.7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</row>
    <row r="6183" spans="1:16" ht="15.7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</row>
    <row r="6184" spans="1:16" ht="15.7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</row>
    <row r="6185" spans="1:16" ht="15.7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</row>
    <row r="6186" spans="1:16" ht="15.7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</row>
    <row r="6187" spans="1:16" ht="15.7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</row>
    <row r="6188" spans="1:16" ht="15.7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</row>
    <row r="6189" spans="1:16" ht="15.7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</row>
    <row r="6190" spans="1:16" ht="15.7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</row>
    <row r="6191" spans="1:16" ht="15.7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</row>
    <row r="6192" spans="1:16" ht="15.7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</row>
    <row r="6193" spans="1:16" ht="15.7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</row>
    <row r="6194" spans="1:16" ht="15.7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</row>
    <row r="6195" spans="1:16" ht="15.7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</row>
    <row r="6196" spans="1:16" ht="15.7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</row>
    <row r="6197" spans="1:16" ht="15.7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</row>
    <row r="6198" spans="1:16" ht="15.7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</row>
    <row r="6199" spans="1:16" ht="15.7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</row>
    <row r="6200" spans="1:16" ht="15.7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</row>
    <row r="6201" spans="1:16" ht="15.7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</row>
    <row r="6202" spans="1:16" ht="15.7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</row>
    <row r="6203" spans="1:16" ht="15.7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</row>
    <row r="6204" spans="1:16" ht="15.7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</row>
    <row r="6205" spans="1:16" ht="15.7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</row>
    <row r="6206" spans="1:16" ht="15.7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</row>
    <row r="6207" spans="1:16" ht="15.7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</row>
    <row r="6208" spans="1:16" ht="15.7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</row>
    <row r="6209" spans="1:16" ht="15.7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</row>
    <row r="6210" spans="1:16" ht="15.7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</row>
    <row r="6211" spans="1:16" ht="15.7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</row>
    <row r="6212" spans="1:16" ht="15.7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</row>
    <row r="6213" spans="1:16" ht="15.7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</row>
    <row r="6214" spans="1:16" ht="15.7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</row>
    <row r="6215" spans="1:16" ht="15.7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</row>
    <row r="6216" spans="1:16" ht="15.7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</row>
    <row r="6217" spans="1:16" ht="15.7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</row>
    <row r="6218" spans="1:16" ht="15.7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</row>
    <row r="6219" spans="1:16" ht="15.7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</row>
    <row r="6220" spans="1:16" ht="15.7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</row>
    <row r="6221" spans="1:16" ht="15.7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</row>
    <row r="6222" spans="1:16" ht="15.7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</row>
    <row r="6223" spans="1:16" ht="15.7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</row>
    <row r="6224" spans="1:16" ht="15.7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</row>
    <row r="6225" spans="1:16" ht="15.7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</row>
    <row r="6226" spans="1:16" ht="15.7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</row>
    <row r="6227" spans="1:16" ht="15.7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</row>
    <row r="6228" spans="1:16" ht="15.7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</row>
    <row r="6229" spans="1:16" ht="15.7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</row>
    <row r="6230" spans="1:16" ht="15.7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</row>
    <row r="6231" spans="1:16" ht="15.7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</row>
    <row r="6232" spans="1:16" ht="15.7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</row>
    <row r="6233" spans="1:16" ht="15.7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</row>
    <row r="6234" spans="1:16" ht="15.7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</row>
    <row r="6235" spans="1:16" ht="15.7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</row>
    <row r="6236" spans="1:16" ht="15.7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</row>
    <row r="6237" spans="1:16" ht="15.7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</row>
    <row r="6238" spans="1:16" ht="15.7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</row>
    <row r="6239" spans="1:16" ht="15.7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</row>
    <row r="6240" spans="1:16" ht="15.7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</row>
    <row r="6241" spans="1:16" ht="15.7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</row>
    <row r="6242" spans="1:16" ht="15.7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</row>
    <row r="6243" spans="1:16" ht="15.7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</row>
    <row r="6244" spans="1:16" ht="15.7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</row>
    <row r="6245" spans="1:16" ht="15.7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</row>
    <row r="6246" spans="1:16" ht="15.7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</row>
    <row r="6247" spans="1:16" ht="15.7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</row>
    <row r="6248" spans="1:16" ht="15.7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</row>
    <row r="6249" spans="1:16" ht="15.7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</row>
    <row r="6250" spans="1:16" ht="15.7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</row>
    <row r="6251" spans="1:16" ht="15.7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</row>
    <row r="6252" spans="1:16" ht="15.7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</row>
    <row r="6253" spans="1:16" ht="15.7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</row>
    <row r="6254" spans="1:16" ht="15.7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</row>
    <row r="6255" spans="1:16" ht="15.7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</row>
    <row r="6256" spans="1:16" ht="15.7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</row>
    <row r="6257" spans="1:16" ht="15.7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</row>
    <row r="6258" spans="1:16" ht="15.7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</row>
    <row r="6259" spans="1:16" ht="15.7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</row>
    <row r="6260" spans="1:16" ht="15.7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</row>
    <row r="6261" spans="1:16" ht="15.7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</row>
    <row r="6262" spans="1:16" ht="15.7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</row>
    <row r="6263" spans="1:16" ht="15.7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</row>
    <row r="6264" spans="1:16" ht="15.7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</row>
    <row r="6265" spans="1:16" ht="15.7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</row>
    <row r="6266" spans="1:16" ht="15.7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</row>
    <row r="6267" spans="1:16" ht="15.7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</row>
    <row r="6268" spans="1:16" ht="15.7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</row>
    <row r="6269" spans="1:16" ht="15.7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</row>
    <row r="6270" spans="1:16" ht="15.7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</row>
    <row r="6271" spans="1:16" ht="15.7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</row>
    <row r="6272" spans="1:16" ht="15.7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</row>
    <row r="6273" spans="1:16" ht="15.7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</row>
    <row r="6274" spans="1:16" ht="15.7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</row>
    <row r="6275" spans="1:16" ht="15.7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</row>
    <row r="6276" spans="1:16" ht="15.7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</row>
    <row r="6277" spans="1:16" ht="15.7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</row>
    <row r="6278" spans="1:16" ht="15.7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</row>
    <row r="6279" spans="1:16" ht="15.7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</row>
    <row r="6280" spans="1:16" ht="15.7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</row>
    <row r="6281" spans="1:16" ht="15.7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</row>
    <row r="6282" spans="1:16" ht="15.7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</row>
    <row r="6283" spans="1:16" ht="15.7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</row>
    <row r="6284" spans="1:16" ht="15.7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</row>
    <row r="6285" spans="1:16" ht="15.7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</row>
    <row r="6286" spans="1:16" ht="15.7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</row>
    <row r="6287" spans="1:16" ht="15.7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</row>
    <row r="6288" spans="1:16" ht="15.7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</row>
    <row r="6289" spans="1:16" ht="15.7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</row>
    <row r="6290" spans="1:16" ht="15.7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</row>
    <row r="6291" spans="1:16" ht="15.7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</row>
    <row r="6292" spans="1:16" ht="15.7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</row>
    <row r="6293" spans="1:16" ht="15.7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</row>
    <row r="6294" spans="1:16" ht="15.7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</row>
    <row r="6295" spans="1:16" ht="15.7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</row>
    <row r="6296" spans="1:16" ht="15.7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</row>
    <row r="6297" spans="1:16" ht="15.7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</row>
    <row r="6298" spans="1:16" ht="15.7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</row>
    <row r="6299" spans="1:16" ht="15.7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</row>
    <row r="6300" spans="1:16" ht="15.7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</row>
    <row r="6301" spans="1:16" ht="15.7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</row>
    <row r="6302" spans="1:16" ht="15.7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</row>
    <row r="6303" spans="1:16" ht="15.7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</row>
    <row r="6304" spans="1:16" ht="15.7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</row>
    <row r="6305" spans="1:16" ht="15.7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</row>
    <row r="6306" spans="1:16" ht="15.7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</row>
    <row r="6307" spans="1:16" ht="15.7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</row>
    <row r="6308" spans="1:16" ht="15.7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</row>
    <row r="6309" spans="1:16" ht="15.7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</row>
    <row r="6310" spans="1:16" ht="15.7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</row>
    <row r="6311" spans="1:16" ht="15.7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</row>
    <row r="6312" spans="1:16" ht="15.7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</row>
    <row r="6313" spans="1:16" ht="15.7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</row>
    <row r="6314" spans="1:16" ht="15.7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</row>
    <row r="6315" spans="1:16" ht="15.7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</row>
    <row r="6316" spans="1:16" ht="15.7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</row>
    <row r="6317" spans="1:16" ht="15.7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</row>
    <row r="6318" spans="1:16" ht="15.7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</row>
    <row r="6319" spans="1:16" ht="15.7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</row>
    <row r="6320" spans="1:16" ht="15.7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</row>
    <row r="6321" spans="1:16" ht="15.7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</row>
    <row r="6322" spans="1:16" ht="15.7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</row>
    <row r="6323" spans="1:16" ht="15.7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</row>
    <row r="6324" spans="1:16" ht="15.7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</row>
    <row r="6325" spans="1:16" ht="15.7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</row>
    <row r="6326" spans="1:16" ht="15.7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</row>
    <row r="6327" spans="1:16" ht="15.7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</row>
    <row r="6328" spans="1:16" ht="15.7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</row>
    <row r="6329" spans="1:16" ht="15.7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</row>
    <row r="6330" spans="1:16" ht="15.7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</row>
    <row r="6331" spans="1:16" ht="15.7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</row>
    <row r="6332" spans="1:16" ht="15.7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</row>
    <row r="6333" spans="1:16" ht="15.7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</row>
    <row r="6334" spans="1:16" ht="15.7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</row>
    <row r="6335" spans="1:16" ht="15.7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</row>
    <row r="6336" spans="1:16" ht="15.7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</row>
    <row r="6337" spans="1:16" ht="15.7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</row>
    <row r="6338" spans="1:16" ht="15.7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</row>
    <row r="6339" spans="1:16" ht="15.7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</row>
    <row r="6340" spans="1:16" ht="15.7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</row>
    <row r="6341" spans="1:16" ht="15.7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</row>
    <row r="6342" spans="1:16" ht="15.7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</row>
    <row r="6343" spans="1:16" ht="15.7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</row>
    <row r="6344" spans="1:16" ht="15.7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</row>
    <row r="6345" spans="1:16" ht="15.7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</row>
    <row r="6346" spans="1:16" ht="15.7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</row>
    <row r="6347" spans="1:16" ht="15.7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</row>
    <row r="6348" spans="1:16" ht="15.7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</row>
    <row r="6349" spans="1:16" ht="15.7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</row>
    <row r="6350" spans="1:16" ht="15.7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</row>
    <row r="6351" spans="1:16" ht="15.7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</row>
    <row r="6352" spans="1:16" ht="15.7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</row>
    <row r="6353" spans="1:16" ht="15.7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</row>
    <row r="6354" spans="1:16" ht="15.7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</row>
    <row r="6355" spans="1:16" ht="15.7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</row>
    <row r="6356" spans="1:16" ht="15.7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</row>
    <row r="6357" spans="1:16" ht="15.7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</row>
    <row r="6358" spans="1:16" ht="15.7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</row>
    <row r="6359" spans="1:16" ht="15.7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</row>
    <row r="6360" spans="1:16" ht="15.7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</row>
    <row r="6361" spans="1:16" ht="15.7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</row>
    <row r="6362" spans="1:16" ht="15.7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</row>
    <row r="6363" spans="1:16" ht="15.7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</row>
    <row r="6364" spans="1:16" ht="15.7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</row>
    <row r="6365" spans="1:16" ht="15.7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</row>
    <row r="6366" spans="1:16" ht="15.7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</row>
    <row r="6367" spans="1:16" ht="15.7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</row>
    <row r="6368" spans="1:16" ht="15.7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</row>
    <row r="6369" spans="1:16" ht="15.7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</row>
    <row r="6370" spans="1:16" ht="15.7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</row>
    <row r="6371" spans="1:16" ht="15.7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</row>
    <row r="6372" spans="1:16" ht="15.7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</row>
    <row r="6373" spans="1:16" ht="15.7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</row>
    <row r="6374" spans="1:16" ht="15.7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</row>
    <row r="6375" spans="1:16" ht="15.7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</row>
    <row r="6376" spans="1:16" ht="15.7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</row>
    <row r="6377" spans="1:16" ht="15.7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</row>
    <row r="6378" spans="1:16" ht="15.7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</row>
    <row r="6379" spans="1:16" ht="15.7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</row>
    <row r="6380" spans="1:16" ht="15.7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</row>
    <row r="6381" spans="1:16" ht="15.7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</row>
    <row r="6382" spans="1:16" ht="15.7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</row>
    <row r="6383" spans="1:16" ht="15.7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</row>
    <row r="6384" spans="1:16" ht="15.7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</row>
    <row r="6385" spans="1:16" ht="15.7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</row>
    <row r="6386" spans="1:16" ht="15.7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</row>
    <row r="6387" spans="1:16" ht="15.7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</row>
    <row r="6388" spans="1:16" ht="15.7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</row>
    <row r="6389" spans="1:16" ht="15.7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</row>
    <row r="6390" spans="1:16" ht="15.7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</row>
    <row r="6391" spans="1:16" ht="15.7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</row>
    <row r="6392" spans="1:16" ht="15.7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</row>
    <row r="6393" spans="1:16" ht="15.7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</row>
    <row r="6394" spans="1:16" ht="15.7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</row>
    <row r="6395" spans="1:16" ht="15.7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</row>
    <row r="6396" spans="1:16" ht="15.7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</row>
    <row r="6397" spans="1:16" ht="15.7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</row>
    <row r="6398" spans="1:16" ht="15.7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</row>
    <row r="6399" spans="1:16" ht="15.7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</row>
    <row r="6400" spans="1:16" ht="15.7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</row>
    <row r="6401" spans="1:16" ht="15.7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</row>
    <row r="6402" spans="1:16" ht="15.7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</row>
    <row r="6403" spans="1:16" ht="15.7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</row>
    <row r="6404" spans="1:16" ht="15.7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</row>
    <row r="6405" spans="1:16" ht="15.7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</row>
    <row r="6406" spans="1:16" ht="15.7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</row>
    <row r="6407" spans="1:16" ht="15.7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</row>
    <row r="6408" spans="1:16" ht="15.7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</row>
    <row r="6409" spans="1:16" ht="15.7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</row>
    <row r="6410" spans="1:16" ht="15.7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</row>
    <row r="6411" spans="1:16" ht="15.7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</row>
    <row r="6412" spans="1:16" ht="15.7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</row>
    <row r="6413" spans="1:16" ht="15.7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</row>
    <row r="6414" spans="1:16" ht="15.7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</row>
    <row r="6415" spans="1:16" ht="15.7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</row>
    <row r="6416" spans="1:16" ht="15.7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</row>
    <row r="6417" spans="1:16" ht="15.7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</row>
    <row r="6418" spans="1:16" ht="15.7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</row>
    <row r="6419" spans="1:16" ht="15.7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</row>
    <row r="6420" spans="1:16" ht="15.7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</row>
    <row r="6421" spans="1:16" ht="15.7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</row>
    <row r="6422" spans="1:16" ht="15.7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</row>
    <row r="6423" spans="1:16" ht="15.7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</row>
    <row r="6424" spans="1:16" ht="15.7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</row>
    <row r="6425" spans="1:16" ht="15.7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</row>
    <row r="6426" spans="1:16" ht="15.7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</row>
    <row r="6427" spans="1:16" ht="15.7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</row>
    <row r="6428" spans="1:16" ht="15.7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</row>
    <row r="6429" spans="1:16" ht="15.7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</row>
    <row r="6430" spans="1:16" ht="15.7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</row>
    <row r="6431" spans="1:16" ht="15.7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</row>
    <row r="6432" spans="1:16" ht="15.7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</row>
    <row r="6433" spans="1:16" ht="15.7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</row>
    <row r="6434" spans="1:16" ht="15.7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</row>
    <row r="6435" spans="1:16" ht="15.7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</row>
    <row r="6436" spans="1:16" ht="15.7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</row>
    <row r="6437" spans="1:16" ht="15.7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</row>
    <row r="6438" spans="1:16" ht="15.7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</row>
    <row r="6439" spans="1:16" ht="15.7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</row>
    <row r="6440" spans="1:16" ht="15.7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</row>
    <row r="6441" spans="1:16" ht="15.7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</row>
    <row r="6442" spans="1:16" ht="15.7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</row>
    <row r="6443" spans="1:16" ht="15.7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</row>
    <row r="6444" spans="1:16" ht="15.7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</row>
    <row r="6445" spans="1:16" ht="15.7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</row>
    <row r="6446" spans="1:16" ht="15.7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</row>
    <row r="6447" spans="1:16" ht="15.7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</row>
    <row r="6448" spans="1:16" ht="15.7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</row>
    <row r="6449" spans="1:16" ht="15.7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</row>
    <row r="6450" spans="1:16" ht="15.7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</row>
    <row r="6451" spans="1:16" ht="15.7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</row>
    <row r="6452" spans="1:16" ht="15.7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</row>
    <row r="6453" spans="1:16" ht="15.7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</row>
    <row r="6454" spans="1:16" ht="15.7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</row>
    <row r="6455" spans="1:16" ht="15.7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</row>
    <row r="6456" spans="1:16" ht="15.7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</row>
    <row r="6457" spans="1:16" ht="15.7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</row>
    <row r="6458" spans="1:16" ht="15.7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</row>
    <row r="6459" spans="1:16" ht="15.7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</row>
    <row r="6460" spans="1:16" ht="15.7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</row>
    <row r="6461" spans="1:16" ht="15.7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</row>
    <row r="6462" spans="1:16" ht="15.7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</row>
    <row r="6463" spans="1:16" ht="15.7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</row>
    <row r="6465" spans="15:33" ht="15.75" x14ac:dyDescent="0.25">
      <c r="O6465" s="11"/>
      <c r="AG6465" s="15" t="str">
        <f>IF(IF(--(ISNUMBER(SEARCH("'",O6465)))&gt;0,OR(EXACT(PROPER(O6465),O6465),EXACT((PROPER(LEFT(O6465,FIND("'",O6465)-2))&amp;LOWER(MID(O6465,FIND("'",O6465)-1,1))&amp;PROPER(MID(O6465,FIND("'",O6465)+0,LEN(O6465)-FIND("'",O6465)+1))),O6465)),"Please check Billing Contact Casing")=TRUE,"","Please check Billing Contact casing")</f>
        <v>Please check Billing Contact casing</v>
      </c>
    </row>
    <row r="6466" spans="15:33" ht="15.75" x14ac:dyDescent="0.25">
      <c r="O6466" s="12"/>
    </row>
    <row r="6467" spans="15:33" ht="15.75" x14ac:dyDescent="0.25">
      <c r="O6467" s="12"/>
    </row>
    <row r="6468" spans="15:33" ht="15.75" x14ac:dyDescent="0.25">
      <c r="O6468" s="12"/>
    </row>
    <row r="6469" spans="15:33" ht="15.75" x14ac:dyDescent="0.25">
      <c r="O6469" s="12"/>
    </row>
    <row r="6470" spans="15:33" ht="15.75" x14ac:dyDescent="0.25">
      <c r="O6470" s="11"/>
    </row>
    <row r="6471" spans="15:33" ht="15.75" x14ac:dyDescent="0.25">
      <c r="O6471" s="12"/>
    </row>
    <row r="6472" spans="15:33" ht="15.75" x14ac:dyDescent="0.25">
      <c r="O6472" s="12"/>
    </row>
    <row r="6473" spans="15:33" ht="15.75" x14ac:dyDescent="0.25">
      <c r="O6473" s="12"/>
    </row>
    <row r="6474" spans="15:33" ht="15.75" x14ac:dyDescent="0.25">
      <c r="O6474" s="12"/>
    </row>
    <row r="6475" spans="15:33" ht="15.75" x14ac:dyDescent="0.25">
      <c r="O6475" s="12"/>
    </row>
    <row r="6476" spans="15:33" ht="15.75" x14ac:dyDescent="0.25">
      <c r="O6476" s="12"/>
    </row>
    <row r="6477" spans="15:33" x14ac:dyDescent="0.25">
      <c r="O6477" s="14"/>
    </row>
    <row r="6478" spans="15:33" x14ac:dyDescent="0.25">
      <c r="O6478" s="14"/>
    </row>
    <row r="6479" spans="15:33" x14ac:dyDescent="0.25">
      <c r="O6479"/>
    </row>
    <row r="6480" spans="15:33" x14ac:dyDescent="0.25">
      <c r="O6480"/>
    </row>
    <row r="6481" spans="15:15" x14ac:dyDescent="0.25">
      <c r="O6481"/>
    </row>
    <row r="6482" spans="15:15" x14ac:dyDescent="0.25">
      <c r="O6482"/>
    </row>
    <row r="6483" spans="15:15" x14ac:dyDescent="0.25">
      <c r="O6483"/>
    </row>
    <row r="6484" spans="15:15" x14ac:dyDescent="0.25">
      <c r="O6484"/>
    </row>
    <row r="6485" spans="15:15" x14ac:dyDescent="0.25">
      <c r="O6485"/>
    </row>
    <row r="6486" spans="15:15" x14ac:dyDescent="0.25">
      <c r="O6486"/>
    </row>
    <row r="6487" spans="15:15" x14ac:dyDescent="0.25">
      <c r="O6487"/>
    </row>
    <row r="6488" spans="15:15" x14ac:dyDescent="0.25">
      <c r="O6488"/>
    </row>
    <row r="6489" spans="15:15" x14ac:dyDescent="0.25">
      <c r="O6489"/>
    </row>
    <row r="6490" spans="15:15" x14ac:dyDescent="0.25">
      <c r="O6490"/>
    </row>
    <row r="6491" spans="15:15" x14ac:dyDescent="0.25">
      <c r="O6491"/>
    </row>
    <row r="6492" spans="15:15" x14ac:dyDescent="0.25">
      <c r="O6492"/>
    </row>
    <row r="6493" spans="15:15" x14ac:dyDescent="0.25">
      <c r="O6493"/>
    </row>
    <row r="6494" spans="15:15" x14ac:dyDescent="0.25">
      <c r="O6494"/>
    </row>
    <row r="6495" spans="15:15" x14ac:dyDescent="0.25">
      <c r="O6495"/>
    </row>
    <row r="6496" spans="15:15" x14ac:dyDescent="0.25">
      <c r="O6496"/>
    </row>
    <row r="6497" spans="15:15" x14ac:dyDescent="0.25">
      <c r="O6497"/>
    </row>
    <row r="6498" spans="15:15" x14ac:dyDescent="0.25">
      <c r="O6498"/>
    </row>
    <row r="6499" spans="15:15" x14ac:dyDescent="0.25">
      <c r="O6499"/>
    </row>
    <row r="6500" spans="15:15" x14ac:dyDescent="0.25">
      <c r="O6500"/>
    </row>
    <row r="6501" spans="15:15" x14ac:dyDescent="0.25">
      <c r="O6501"/>
    </row>
    <row r="6502" spans="15:15" x14ac:dyDescent="0.25">
      <c r="O6502"/>
    </row>
    <row r="6503" spans="15:15" x14ac:dyDescent="0.25">
      <c r="O6503"/>
    </row>
    <row r="6504" spans="15:15" x14ac:dyDescent="0.25">
      <c r="O6504"/>
    </row>
    <row r="6505" spans="15:15" x14ac:dyDescent="0.25">
      <c r="O6505"/>
    </row>
    <row r="6506" spans="15:15" x14ac:dyDescent="0.25">
      <c r="O6506"/>
    </row>
    <row r="6507" spans="15:15" x14ac:dyDescent="0.25">
      <c r="O6507"/>
    </row>
    <row r="6508" spans="15:15" x14ac:dyDescent="0.25">
      <c r="O6508"/>
    </row>
    <row r="6509" spans="15:15" x14ac:dyDescent="0.25">
      <c r="O6509"/>
    </row>
    <row r="6510" spans="15:15" x14ac:dyDescent="0.25">
      <c r="O6510"/>
    </row>
    <row r="6511" spans="15:15" x14ac:dyDescent="0.25">
      <c r="O6511"/>
    </row>
    <row r="6512" spans="15:15" x14ac:dyDescent="0.25">
      <c r="O6512"/>
    </row>
    <row r="6513" spans="15:15" x14ac:dyDescent="0.25">
      <c r="O6513"/>
    </row>
    <row r="6514" spans="15:15" x14ac:dyDescent="0.25">
      <c r="O6514"/>
    </row>
    <row r="6515" spans="15:15" x14ac:dyDescent="0.25">
      <c r="O6515"/>
    </row>
    <row r="6516" spans="15:15" x14ac:dyDescent="0.25">
      <c r="O6516"/>
    </row>
    <row r="6517" spans="15:15" x14ac:dyDescent="0.25">
      <c r="O6517"/>
    </row>
    <row r="6518" spans="15:15" x14ac:dyDescent="0.25">
      <c r="O6518"/>
    </row>
    <row r="6519" spans="15:15" x14ac:dyDescent="0.25">
      <c r="O6519"/>
    </row>
    <row r="6520" spans="15:15" x14ac:dyDescent="0.25">
      <c r="O6520"/>
    </row>
    <row r="6521" spans="15:15" x14ac:dyDescent="0.25">
      <c r="O6521"/>
    </row>
    <row r="6522" spans="15:15" x14ac:dyDescent="0.25">
      <c r="O6522"/>
    </row>
    <row r="6523" spans="15:15" x14ac:dyDescent="0.25">
      <c r="O6523"/>
    </row>
    <row r="6524" spans="15:15" x14ac:dyDescent="0.25">
      <c r="O6524"/>
    </row>
    <row r="6525" spans="15:15" x14ac:dyDescent="0.25">
      <c r="O6525"/>
    </row>
    <row r="6526" spans="15:15" x14ac:dyDescent="0.25">
      <c r="O6526"/>
    </row>
    <row r="6527" spans="15:15" x14ac:dyDescent="0.25">
      <c r="O6527"/>
    </row>
    <row r="6528" spans="15:15" x14ac:dyDescent="0.25">
      <c r="O6528"/>
    </row>
    <row r="6529" spans="15:15" x14ac:dyDescent="0.25">
      <c r="O6529"/>
    </row>
    <row r="6530" spans="15:15" x14ac:dyDescent="0.25">
      <c r="O6530"/>
    </row>
    <row r="6531" spans="15:15" x14ac:dyDescent="0.25">
      <c r="O6531"/>
    </row>
    <row r="6532" spans="15:15" x14ac:dyDescent="0.25">
      <c r="O6532"/>
    </row>
    <row r="6533" spans="15:15" x14ac:dyDescent="0.25">
      <c r="O6533"/>
    </row>
    <row r="6534" spans="15:15" x14ac:dyDescent="0.25">
      <c r="O6534"/>
    </row>
    <row r="6535" spans="15:15" x14ac:dyDescent="0.25">
      <c r="O6535"/>
    </row>
    <row r="6536" spans="15:15" x14ac:dyDescent="0.25">
      <c r="O6536"/>
    </row>
    <row r="6537" spans="15:15" x14ac:dyDescent="0.25">
      <c r="O6537"/>
    </row>
    <row r="6538" spans="15:15" x14ac:dyDescent="0.25">
      <c r="O6538"/>
    </row>
    <row r="6539" spans="15:15" x14ac:dyDescent="0.25">
      <c r="O6539"/>
    </row>
    <row r="6540" spans="15:15" x14ac:dyDescent="0.25">
      <c r="O6540"/>
    </row>
    <row r="6541" spans="15:15" x14ac:dyDescent="0.25">
      <c r="O6541"/>
    </row>
    <row r="6542" spans="15:15" x14ac:dyDescent="0.25">
      <c r="O6542"/>
    </row>
    <row r="6543" spans="15:15" x14ac:dyDescent="0.25">
      <c r="O6543"/>
    </row>
    <row r="6544" spans="15:15" x14ac:dyDescent="0.25">
      <c r="O6544"/>
    </row>
    <row r="6545" spans="15:15" x14ac:dyDescent="0.25">
      <c r="O6545"/>
    </row>
    <row r="6546" spans="15:15" x14ac:dyDescent="0.25">
      <c r="O6546"/>
    </row>
    <row r="6547" spans="15:15" x14ac:dyDescent="0.25">
      <c r="O6547"/>
    </row>
    <row r="6548" spans="15:15" x14ac:dyDescent="0.25">
      <c r="O6548"/>
    </row>
    <row r="6549" spans="15:15" x14ac:dyDescent="0.25">
      <c r="O6549"/>
    </row>
    <row r="6550" spans="15:15" x14ac:dyDescent="0.25">
      <c r="O6550"/>
    </row>
    <row r="6551" spans="15:15" x14ac:dyDescent="0.25">
      <c r="O6551"/>
    </row>
  </sheetData>
  <autoFilter ref="A2:AQ46" xr:uid="{00000000-0001-0000-0000-000000000000}"/>
  <sortState xmlns:xlrd2="http://schemas.microsoft.com/office/spreadsheetml/2017/richdata2" ref="A3:P580">
    <sortCondition ref="G3:G580"/>
  </sortState>
  <mergeCells count="2">
    <mergeCell ref="AL1:AQ1"/>
    <mergeCell ref="AS1:AW1"/>
  </mergeCells>
  <pageMargins left="0.7" right="0.7" top="0.75" bottom="0.75" header="0.3" footer="0.3"/>
  <pageSetup paperSize="9" orientation="portrait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B131-E294-417D-92CE-041A30AC52C0}">
  <sheetPr codeName="Sheet5"/>
  <dimension ref="A1:N241"/>
  <sheetViews>
    <sheetView topLeftCell="C1" workbookViewId="0">
      <selection activeCell="H1" sqref="H1"/>
    </sheetView>
  </sheetViews>
  <sheetFormatPr defaultRowHeight="15" x14ac:dyDescent="0.25"/>
  <cols>
    <col min="1" max="1" width="14.7109375" bestFit="1" customWidth="1"/>
    <col min="2" max="2" width="10.7109375" customWidth="1"/>
    <col min="3" max="3" width="7.42578125" customWidth="1"/>
    <col min="4" max="4" width="16.5703125" customWidth="1"/>
    <col min="5" max="5" width="12.140625" customWidth="1"/>
    <col min="6" max="6" width="7.42578125" customWidth="1"/>
    <col min="7" max="7" width="14.7109375" bestFit="1" customWidth="1"/>
    <col min="8" max="8" width="13.5703125" customWidth="1"/>
    <col min="9" max="9" width="7.42578125" customWidth="1"/>
    <col min="10" max="10" width="18.28515625" bestFit="1" customWidth="1"/>
    <col min="11" max="11" width="11" customWidth="1"/>
    <col min="12" max="12" width="7.42578125" customWidth="1"/>
    <col min="13" max="13" width="10.7109375" customWidth="1"/>
    <col min="14" max="14" width="11.140625" customWidth="1"/>
    <col min="17" max="17" width="22.140625" bestFit="1" customWidth="1"/>
  </cols>
  <sheetData>
    <row r="1" spans="1:14" ht="22.5" x14ac:dyDescent="0.25">
      <c r="A1" s="22" t="s">
        <v>140</v>
      </c>
      <c r="B1" s="22" t="s">
        <v>141</v>
      </c>
      <c r="C1" s="22" t="s">
        <v>13</v>
      </c>
      <c r="D1" s="22" t="s">
        <v>143</v>
      </c>
      <c r="E1" s="22" t="s">
        <v>170</v>
      </c>
      <c r="F1" s="22" t="s">
        <v>13</v>
      </c>
      <c r="G1" s="22" t="s">
        <v>217</v>
      </c>
      <c r="H1" s="22" t="s">
        <v>218</v>
      </c>
      <c r="I1" s="22" t="s">
        <v>13</v>
      </c>
      <c r="J1" s="22" t="s">
        <v>219</v>
      </c>
      <c r="K1" s="22" t="s">
        <v>220</v>
      </c>
      <c r="L1" s="22" t="s">
        <v>13</v>
      </c>
      <c r="M1" s="22" t="s">
        <v>239</v>
      </c>
      <c r="N1" s="22" t="s">
        <v>454</v>
      </c>
    </row>
    <row r="2" spans="1:14" x14ac:dyDescent="0.25">
      <c r="A2" s="23" t="s">
        <v>48</v>
      </c>
      <c r="B2" s="24" t="s">
        <v>49</v>
      </c>
      <c r="C2" s="25"/>
      <c r="D2" s="24" t="s">
        <v>144</v>
      </c>
      <c r="E2" s="24" t="s">
        <v>145</v>
      </c>
      <c r="F2" s="25"/>
      <c r="G2" s="24" t="s">
        <v>190</v>
      </c>
      <c r="H2" s="24" t="s">
        <v>171</v>
      </c>
      <c r="I2" s="25"/>
      <c r="J2" s="24" t="s">
        <v>222</v>
      </c>
      <c r="K2" s="24" t="s">
        <v>221</v>
      </c>
      <c r="L2" s="25"/>
      <c r="M2" s="24" t="s">
        <v>241</v>
      </c>
      <c r="N2" s="24" t="s">
        <v>250</v>
      </c>
    </row>
    <row r="3" spans="1:14" x14ac:dyDescent="0.25">
      <c r="A3" s="23" t="s">
        <v>50</v>
      </c>
      <c r="B3" s="24" t="s">
        <v>51</v>
      </c>
      <c r="C3" s="25"/>
      <c r="D3" s="24" t="s">
        <v>146</v>
      </c>
      <c r="E3" s="24" t="s">
        <v>147</v>
      </c>
      <c r="F3" s="25"/>
      <c r="G3" s="24" t="s">
        <v>191</v>
      </c>
      <c r="H3" s="24" t="s">
        <v>49</v>
      </c>
      <c r="I3" s="25"/>
      <c r="J3" s="24" t="s">
        <v>224</v>
      </c>
      <c r="K3" s="24" t="s">
        <v>223</v>
      </c>
      <c r="L3" s="25"/>
      <c r="M3" s="24" t="s">
        <v>49</v>
      </c>
      <c r="N3" s="24" t="s">
        <v>256</v>
      </c>
    </row>
    <row r="4" spans="1:14" x14ac:dyDescent="0.25">
      <c r="A4" s="23" t="s">
        <v>52</v>
      </c>
      <c r="B4" s="24" t="s">
        <v>53</v>
      </c>
      <c r="C4" s="25"/>
      <c r="D4" s="24" t="s">
        <v>148</v>
      </c>
      <c r="E4" s="24" t="s">
        <v>149</v>
      </c>
      <c r="F4" s="25"/>
      <c r="G4" s="24" t="s">
        <v>192</v>
      </c>
      <c r="H4" s="24" t="s">
        <v>172</v>
      </c>
      <c r="I4" s="25"/>
      <c r="J4" s="24" t="s">
        <v>225</v>
      </c>
      <c r="K4" s="24" t="s">
        <v>155</v>
      </c>
      <c r="L4" s="25"/>
      <c r="M4" s="24" t="s">
        <v>242</v>
      </c>
      <c r="N4" s="24" t="s">
        <v>266</v>
      </c>
    </row>
    <row r="5" spans="1:14" x14ac:dyDescent="0.25">
      <c r="A5" s="23" t="s">
        <v>54</v>
      </c>
      <c r="B5" s="24" t="s">
        <v>55</v>
      </c>
      <c r="C5" s="25"/>
      <c r="D5" s="24" t="s">
        <v>150</v>
      </c>
      <c r="E5" s="24" t="s">
        <v>151</v>
      </c>
      <c r="F5" s="25"/>
      <c r="G5" s="24" t="s">
        <v>193</v>
      </c>
      <c r="H5" s="24" t="s">
        <v>173</v>
      </c>
      <c r="I5" s="25"/>
      <c r="J5" s="24" t="s">
        <v>227</v>
      </c>
      <c r="K5" s="24" t="s">
        <v>226</v>
      </c>
      <c r="L5" s="25"/>
      <c r="M5" s="24" t="s">
        <v>243</v>
      </c>
      <c r="N5" s="24" t="s">
        <v>281</v>
      </c>
    </row>
    <row r="6" spans="1:14" x14ac:dyDescent="0.25">
      <c r="A6" s="23" t="s">
        <v>56</v>
      </c>
      <c r="B6" s="24" t="s">
        <v>57</v>
      </c>
      <c r="C6" s="25"/>
      <c r="D6" s="24" t="s">
        <v>152</v>
      </c>
      <c r="E6" s="24" t="s">
        <v>153</v>
      </c>
      <c r="F6" s="25"/>
      <c r="G6" s="24" t="s">
        <v>194</v>
      </c>
      <c r="H6" s="24" t="s">
        <v>174</v>
      </c>
      <c r="I6" s="25"/>
      <c r="J6" s="24" t="s">
        <v>229</v>
      </c>
      <c r="K6" s="24" t="s">
        <v>228</v>
      </c>
      <c r="L6" s="25"/>
      <c r="M6" s="24" t="s">
        <v>244</v>
      </c>
      <c r="N6" s="24" t="s">
        <v>284</v>
      </c>
    </row>
    <row r="7" spans="1:14" x14ac:dyDescent="0.25">
      <c r="A7" s="23" t="s">
        <v>58</v>
      </c>
      <c r="B7" s="24" t="s">
        <v>59</v>
      </c>
      <c r="C7" s="25"/>
      <c r="D7" s="24" t="s">
        <v>154</v>
      </c>
      <c r="E7" s="24" t="s">
        <v>155</v>
      </c>
      <c r="F7" s="25"/>
      <c r="G7" s="24" t="s">
        <v>195</v>
      </c>
      <c r="H7" s="24" t="s">
        <v>175</v>
      </c>
      <c r="I7" s="25"/>
      <c r="J7" s="24" t="s">
        <v>231</v>
      </c>
      <c r="K7" s="24" t="s">
        <v>230</v>
      </c>
      <c r="L7" s="25"/>
      <c r="M7" s="24" t="s">
        <v>245</v>
      </c>
      <c r="N7" s="24" t="s">
        <v>285</v>
      </c>
    </row>
    <row r="8" spans="1:14" x14ac:dyDescent="0.25">
      <c r="A8" s="23" t="s">
        <v>60</v>
      </c>
      <c r="B8" s="24" t="s">
        <v>43</v>
      </c>
      <c r="C8" s="25"/>
      <c r="D8" s="24" t="s">
        <v>156</v>
      </c>
      <c r="E8" s="24" t="s">
        <v>157</v>
      </c>
      <c r="F8" s="25"/>
      <c r="G8" s="24" t="s">
        <v>196</v>
      </c>
      <c r="H8" s="24" t="s">
        <v>176</v>
      </c>
      <c r="I8" s="25"/>
      <c r="J8" s="24" t="s">
        <v>233</v>
      </c>
      <c r="K8" s="24" t="s">
        <v>232</v>
      </c>
      <c r="L8" s="25"/>
      <c r="M8" s="24" t="s">
        <v>246</v>
      </c>
      <c r="N8" s="24" t="s">
        <v>287</v>
      </c>
    </row>
    <row r="9" spans="1:14" x14ac:dyDescent="0.25">
      <c r="A9" s="23" t="s">
        <v>61</v>
      </c>
      <c r="B9" s="24" t="s">
        <v>40</v>
      </c>
      <c r="C9" s="25"/>
      <c r="D9" s="24" t="s">
        <v>158</v>
      </c>
      <c r="E9" s="24" t="s">
        <v>159</v>
      </c>
      <c r="F9" s="25"/>
      <c r="G9" s="24" t="s">
        <v>197</v>
      </c>
      <c r="H9" s="24" t="s">
        <v>177</v>
      </c>
      <c r="I9" s="25"/>
      <c r="J9" s="24" t="s">
        <v>234</v>
      </c>
      <c r="K9" s="24" t="s">
        <v>133</v>
      </c>
      <c r="L9" s="25"/>
      <c r="M9" s="24" t="s">
        <v>247</v>
      </c>
      <c r="N9" s="24" t="s">
        <v>295</v>
      </c>
    </row>
    <row r="10" spans="1:14" x14ac:dyDescent="0.25">
      <c r="A10" s="23" t="s">
        <v>62</v>
      </c>
      <c r="B10" s="24" t="s">
        <v>63</v>
      </c>
      <c r="C10" s="25"/>
      <c r="D10" s="24" t="s">
        <v>160</v>
      </c>
      <c r="E10" s="24" t="s">
        <v>161</v>
      </c>
      <c r="F10" s="25"/>
      <c r="G10" s="24" t="s">
        <v>198</v>
      </c>
      <c r="H10" s="24" t="s">
        <v>178</v>
      </c>
      <c r="I10" s="25"/>
      <c r="J10" s="24"/>
      <c r="K10" s="24"/>
      <c r="L10" s="25"/>
      <c r="M10" s="24" t="s">
        <v>248</v>
      </c>
      <c r="N10" s="24" t="s">
        <v>38</v>
      </c>
    </row>
    <row r="11" spans="1:14" x14ac:dyDescent="0.25">
      <c r="A11" s="23" t="s">
        <v>64</v>
      </c>
      <c r="B11" s="24" t="s">
        <v>65</v>
      </c>
      <c r="C11" s="25"/>
      <c r="D11" s="24" t="s">
        <v>162</v>
      </c>
      <c r="E11" s="24" t="s">
        <v>163</v>
      </c>
      <c r="F11" s="25"/>
      <c r="G11" s="24" t="s">
        <v>199</v>
      </c>
      <c r="H11" s="24" t="s">
        <v>87</v>
      </c>
      <c r="I11" s="25"/>
      <c r="J11" s="24"/>
      <c r="K11" s="24"/>
      <c r="L11" s="25"/>
      <c r="M11" s="24" t="s">
        <v>55</v>
      </c>
      <c r="N11" s="24" t="s">
        <v>300</v>
      </c>
    </row>
    <row r="12" spans="1:14" x14ac:dyDescent="0.25">
      <c r="A12" s="23" t="s">
        <v>66</v>
      </c>
      <c r="B12" s="24" t="s">
        <v>44</v>
      </c>
      <c r="C12" s="25"/>
      <c r="D12" s="24" t="s">
        <v>164</v>
      </c>
      <c r="E12" s="24" t="s">
        <v>165</v>
      </c>
      <c r="F12" s="25"/>
      <c r="G12" s="24" t="s">
        <v>200</v>
      </c>
      <c r="H12" s="24" t="s">
        <v>97</v>
      </c>
      <c r="I12" s="25"/>
      <c r="J12" s="24"/>
      <c r="K12" s="24"/>
      <c r="L12" s="25"/>
      <c r="M12" s="24" t="s">
        <v>173</v>
      </c>
      <c r="N12" s="24" t="s">
        <v>40</v>
      </c>
    </row>
    <row r="13" spans="1:14" x14ac:dyDescent="0.25">
      <c r="A13" s="23" t="s">
        <v>67</v>
      </c>
      <c r="B13" s="24" t="s">
        <v>68</v>
      </c>
      <c r="C13" s="25"/>
      <c r="D13" s="24" t="s">
        <v>166</v>
      </c>
      <c r="E13" s="24" t="s">
        <v>167</v>
      </c>
      <c r="F13" s="25"/>
      <c r="G13" s="24" t="s">
        <v>201</v>
      </c>
      <c r="H13" s="24" t="s">
        <v>93</v>
      </c>
      <c r="I13" s="25"/>
      <c r="J13" s="24"/>
      <c r="K13" s="24"/>
      <c r="L13" s="25"/>
      <c r="M13" s="24" t="s">
        <v>249</v>
      </c>
      <c r="N13" s="24" t="s">
        <v>306</v>
      </c>
    </row>
    <row r="14" spans="1:14" x14ac:dyDescent="0.25">
      <c r="A14" s="23" t="s">
        <v>69</v>
      </c>
      <c r="B14" s="24" t="s">
        <v>70</v>
      </c>
      <c r="C14" s="25"/>
      <c r="D14" s="24" t="s">
        <v>168</v>
      </c>
      <c r="E14" s="24" t="s">
        <v>169</v>
      </c>
      <c r="F14" s="25"/>
      <c r="G14" s="24" t="s">
        <v>202</v>
      </c>
      <c r="H14" s="24" t="s">
        <v>179</v>
      </c>
      <c r="I14" s="25"/>
      <c r="J14" s="24"/>
      <c r="K14" s="24"/>
      <c r="L14" s="25"/>
      <c r="M14" s="24" t="s">
        <v>235</v>
      </c>
      <c r="N14" s="24" t="s">
        <v>318</v>
      </c>
    </row>
    <row r="15" spans="1:14" x14ac:dyDescent="0.25">
      <c r="A15" s="23" t="s">
        <v>71</v>
      </c>
      <c r="B15" s="24" t="s">
        <v>72</v>
      </c>
      <c r="C15" s="25"/>
      <c r="D15" s="24"/>
      <c r="E15" s="24"/>
      <c r="F15" s="25"/>
      <c r="G15" s="24" t="s">
        <v>203</v>
      </c>
      <c r="H15" s="24" t="s">
        <v>37</v>
      </c>
      <c r="I15" s="25"/>
      <c r="J15" s="24"/>
      <c r="K15" s="24"/>
      <c r="L15" s="25"/>
      <c r="M15" s="24" t="s">
        <v>250</v>
      </c>
      <c r="N15" s="24" t="s">
        <v>322</v>
      </c>
    </row>
    <row r="16" spans="1:14" x14ac:dyDescent="0.25">
      <c r="A16" s="23" t="s">
        <v>73</v>
      </c>
      <c r="B16" s="24" t="s">
        <v>74</v>
      </c>
      <c r="C16" s="25"/>
      <c r="D16" s="24"/>
      <c r="E16" s="24"/>
      <c r="F16" s="25"/>
      <c r="G16" s="24" t="s">
        <v>204</v>
      </c>
      <c r="H16" s="24" t="s">
        <v>180</v>
      </c>
      <c r="I16" s="25"/>
      <c r="J16" s="24"/>
      <c r="K16" s="24"/>
      <c r="L16" s="25"/>
      <c r="M16" s="24" t="s">
        <v>53</v>
      </c>
      <c r="N16" s="24" t="s">
        <v>36</v>
      </c>
    </row>
    <row r="17" spans="1:14" x14ac:dyDescent="0.25">
      <c r="A17" s="23" t="s">
        <v>75</v>
      </c>
      <c r="B17" s="24" t="s">
        <v>76</v>
      </c>
      <c r="C17" s="25"/>
      <c r="D17" s="24"/>
      <c r="E17" s="24"/>
      <c r="F17" s="25"/>
      <c r="G17" s="24" t="s">
        <v>205</v>
      </c>
      <c r="H17" s="24" t="s">
        <v>118</v>
      </c>
      <c r="I17" s="25"/>
      <c r="J17" s="24"/>
      <c r="K17" s="24"/>
      <c r="L17" s="25"/>
      <c r="M17" s="24" t="s">
        <v>251</v>
      </c>
      <c r="N17" s="24" t="s">
        <v>333</v>
      </c>
    </row>
    <row r="18" spans="1:14" x14ac:dyDescent="0.25">
      <c r="A18" s="23" t="s">
        <v>77</v>
      </c>
      <c r="B18" s="24" t="s">
        <v>78</v>
      </c>
      <c r="C18" s="25"/>
      <c r="D18" s="24"/>
      <c r="E18" s="24"/>
      <c r="F18" s="25"/>
      <c r="G18" s="24" t="s">
        <v>206</v>
      </c>
      <c r="H18" s="24" t="s">
        <v>163</v>
      </c>
      <c r="I18" s="25"/>
      <c r="J18" s="24"/>
      <c r="K18" s="24"/>
      <c r="L18" s="25"/>
      <c r="M18" s="24" t="s">
        <v>252</v>
      </c>
      <c r="N18" s="24" t="s">
        <v>339</v>
      </c>
    </row>
    <row r="19" spans="1:14" x14ac:dyDescent="0.25">
      <c r="A19" s="23" t="s">
        <v>79</v>
      </c>
      <c r="B19" s="24" t="s">
        <v>80</v>
      </c>
      <c r="C19" s="25"/>
      <c r="D19" s="24"/>
      <c r="E19" s="24"/>
      <c r="F19" s="25"/>
      <c r="G19" s="24" t="s">
        <v>207</v>
      </c>
      <c r="H19" s="24" t="s">
        <v>181</v>
      </c>
      <c r="I19" s="25"/>
      <c r="J19" s="24"/>
      <c r="K19" s="24"/>
      <c r="L19" s="25"/>
      <c r="M19" s="24" t="s">
        <v>253</v>
      </c>
      <c r="N19" s="24" t="s">
        <v>340</v>
      </c>
    </row>
    <row r="20" spans="1:14" x14ac:dyDescent="0.25">
      <c r="A20" s="23" t="s">
        <v>81</v>
      </c>
      <c r="B20" s="24" t="s">
        <v>35</v>
      </c>
      <c r="C20" s="25"/>
      <c r="D20" s="24"/>
      <c r="E20" s="24"/>
      <c r="F20" s="25"/>
      <c r="G20" s="24" t="s">
        <v>208</v>
      </c>
      <c r="H20" s="24" t="s">
        <v>182</v>
      </c>
      <c r="I20" s="25"/>
      <c r="J20" s="24"/>
      <c r="K20" s="24"/>
      <c r="L20" s="25"/>
      <c r="M20" s="24" t="s">
        <v>254</v>
      </c>
      <c r="N20" s="24" t="s">
        <v>97</v>
      </c>
    </row>
    <row r="21" spans="1:14" x14ac:dyDescent="0.25">
      <c r="A21" s="23" t="s">
        <v>82</v>
      </c>
      <c r="B21" s="24" t="s">
        <v>83</v>
      </c>
      <c r="C21" s="25"/>
      <c r="D21" s="24"/>
      <c r="E21" s="24"/>
      <c r="F21" s="25"/>
      <c r="G21" s="24" t="s">
        <v>209</v>
      </c>
      <c r="H21" s="24" t="s">
        <v>183</v>
      </c>
      <c r="I21" s="25"/>
      <c r="J21" s="24"/>
      <c r="K21" s="24"/>
      <c r="L21" s="25"/>
      <c r="M21" s="24" t="s">
        <v>255</v>
      </c>
      <c r="N21" s="24" t="s">
        <v>153</v>
      </c>
    </row>
    <row r="22" spans="1:14" x14ac:dyDescent="0.25">
      <c r="A22" s="23" t="s">
        <v>84</v>
      </c>
      <c r="B22" s="24" t="s">
        <v>85</v>
      </c>
      <c r="C22" s="25"/>
      <c r="D22" s="24"/>
      <c r="E22" s="24"/>
      <c r="F22" s="25"/>
      <c r="G22" s="24" t="s">
        <v>210</v>
      </c>
      <c r="H22" s="24" t="s">
        <v>184</v>
      </c>
      <c r="I22" s="25"/>
      <c r="J22" s="24"/>
      <c r="K22" s="24"/>
      <c r="L22" s="25"/>
      <c r="M22" s="24" t="s">
        <v>256</v>
      </c>
      <c r="N22" s="24" t="s">
        <v>372</v>
      </c>
    </row>
    <row r="23" spans="1:14" x14ac:dyDescent="0.25">
      <c r="A23" s="23" t="s">
        <v>86</v>
      </c>
      <c r="B23" s="24" t="s">
        <v>87</v>
      </c>
      <c r="C23" s="25"/>
      <c r="D23" s="24"/>
      <c r="E23" s="24"/>
      <c r="F23" s="25"/>
      <c r="G23" s="24" t="s">
        <v>211</v>
      </c>
      <c r="H23" s="24" t="s">
        <v>185</v>
      </c>
      <c r="I23" s="25"/>
      <c r="J23" s="24"/>
      <c r="K23" s="24"/>
      <c r="L23" s="25"/>
      <c r="M23" s="24" t="s">
        <v>257</v>
      </c>
      <c r="N23" s="24" t="s">
        <v>373</v>
      </c>
    </row>
    <row r="24" spans="1:14" x14ac:dyDescent="0.25">
      <c r="A24" s="23" t="s">
        <v>88</v>
      </c>
      <c r="B24" s="24" t="s">
        <v>89</v>
      </c>
      <c r="C24" s="25"/>
      <c r="D24" s="24"/>
      <c r="E24" s="24"/>
      <c r="F24" s="25"/>
      <c r="G24" s="24" t="s">
        <v>212</v>
      </c>
      <c r="H24" s="24" t="s">
        <v>186</v>
      </c>
      <c r="I24" s="25"/>
      <c r="J24" s="24"/>
      <c r="K24" s="24"/>
      <c r="L24" s="25"/>
      <c r="M24" s="24" t="s">
        <v>258</v>
      </c>
      <c r="N24" s="24" t="s">
        <v>185</v>
      </c>
    </row>
    <row r="25" spans="1:14" x14ac:dyDescent="0.25">
      <c r="A25" s="23" t="s">
        <v>90</v>
      </c>
      <c r="B25" s="24" t="s">
        <v>91</v>
      </c>
      <c r="C25" s="25"/>
      <c r="D25" s="24"/>
      <c r="E25" s="24"/>
      <c r="F25" s="25"/>
      <c r="G25" s="24" t="s">
        <v>213</v>
      </c>
      <c r="H25" s="24" t="s">
        <v>122</v>
      </c>
      <c r="I25" s="25"/>
      <c r="J25" s="24"/>
      <c r="K25" s="24"/>
      <c r="L25" s="25"/>
      <c r="M25" s="24" t="s">
        <v>259</v>
      </c>
      <c r="N25" s="24" t="s">
        <v>167</v>
      </c>
    </row>
    <row r="26" spans="1:14" x14ac:dyDescent="0.25">
      <c r="A26" s="23" t="s">
        <v>92</v>
      </c>
      <c r="B26" s="24" t="s">
        <v>93</v>
      </c>
      <c r="C26" s="25"/>
      <c r="D26" s="24"/>
      <c r="E26" s="24"/>
      <c r="F26" s="25"/>
      <c r="G26" s="24" t="s">
        <v>214</v>
      </c>
      <c r="H26" s="24" t="s">
        <v>187</v>
      </c>
      <c r="I26" s="25"/>
      <c r="J26" s="24"/>
      <c r="K26" s="24"/>
      <c r="L26" s="25"/>
      <c r="M26" s="24" t="s">
        <v>260</v>
      </c>
      <c r="N26" s="24" t="s">
        <v>393</v>
      </c>
    </row>
    <row r="27" spans="1:14" x14ac:dyDescent="0.25">
      <c r="A27" s="23" t="s">
        <v>94</v>
      </c>
      <c r="B27" s="24" t="s">
        <v>95</v>
      </c>
      <c r="C27" s="25"/>
      <c r="D27" s="24"/>
      <c r="E27" s="24"/>
      <c r="F27" s="25"/>
      <c r="G27" s="24" t="s">
        <v>215</v>
      </c>
      <c r="H27" s="24" t="s">
        <v>188</v>
      </c>
      <c r="I27" s="25"/>
      <c r="J27" s="24"/>
      <c r="K27" s="24"/>
      <c r="L27" s="25"/>
      <c r="M27" s="24" t="s">
        <v>261</v>
      </c>
      <c r="N27" s="24" t="s">
        <v>177</v>
      </c>
    </row>
    <row r="28" spans="1:14" x14ac:dyDescent="0.25">
      <c r="A28" s="23" t="s">
        <v>96</v>
      </c>
      <c r="B28" s="24" t="s">
        <v>97</v>
      </c>
      <c r="C28" s="25"/>
      <c r="D28" s="24"/>
      <c r="E28" s="24"/>
      <c r="F28" s="25"/>
      <c r="G28" s="24" t="s">
        <v>216</v>
      </c>
      <c r="H28" s="24" t="s">
        <v>189</v>
      </c>
      <c r="I28" s="25"/>
      <c r="J28" s="24"/>
      <c r="K28" s="24"/>
      <c r="L28" s="25"/>
      <c r="M28" s="24" t="s">
        <v>174</v>
      </c>
      <c r="N28" s="24" t="s">
        <v>188</v>
      </c>
    </row>
    <row r="29" spans="1:14" x14ac:dyDescent="0.25">
      <c r="A29" s="23" t="s">
        <v>98</v>
      </c>
      <c r="B29" s="24" t="s">
        <v>142</v>
      </c>
      <c r="C29" s="25"/>
      <c r="D29" s="24"/>
      <c r="E29" s="24"/>
      <c r="F29" s="25"/>
      <c r="G29" s="24"/>
      <c r="H29" s="24"/>
      <c r="I29" s="25"/>
      <c r="J29" s="24"/>
      <c r="K29" s="24"/>
      <c r="L29" s="25"/>
      <c r="M29" s="24" t="s">
        <v>262</v>
      </c>
      <c r="N29" s="24" t="s">
        <v>46</v>
      </c>
    </row>
    <row r="30" spans="1:14" x14ac:dyDescent="0.25">
      <c r="A30" s="23" t="s">
        <v>99</v>
      </c>
      <c r="B30" s="24" t="s">
        <v>100</v>
      </c>
      <c r="C30" s="25"/>
      <c r="D30" s="24"/>
      <c r="E30" s="24"/>
      <c r="F30" s="25"/>
      <c r="G30" s="24"/>
      <c r="H30" s="24"/>
      <c r="I30" s="25"/>
      <c r="J30" s="24"/>
      <c r="K30" s="24"/>
      <c r="L30" s="25"/>
      <c r="M30" s="24" t="s">
        <v>236</v>
      </c>
      <c r="N30" s="24"/>
    </row>
    <row r="31" spans="1:14" x14ac:dyDescent="0.25">
      <c r="A31" s="23" t="s">
        <v>101</v>
      </c>
      <c r="B31" s="24" t="s">
        <v>102</v>
      </c>
      <c r="C31" s="25"/>
      <c r="D31" s="24"/>
      <c r="E31" s="24"/>
      <c r="F31" s="25"/>
      <c r="G31" s="24"/>
      <c r="H31" s="24"/>
      <c r="I31" s="25"/>
      <c r="J31" s="24"/>
      <c r="K31" s="24"/>
      <c r="L31" s="25"/>
      <c r="M31" s="24" t="s">
        <v>263</v>
      </c>
      <c r="N31" s="24"/>
    </row>
    <row r="32" spans="1:14" x14ac:dyDescent="0.25">
      <c r="A32" s="23" t="s">
        <v>103</v>
      </c>
      <c r="B32" s="24" t="s">
        <v>42</v>
      </c>
      <c r="C32" s="25"/>
      <c r="D32" s="24"/>
      <c r="E32" s="24"/>
      <c r="F32" s="25"/>
      <c r="G32" s="24"/>
      <c r="H32" s="24"/>
      <c r="I32" s="25"/>
      <c r="J32" s="24"/>
      <c r="K32" s="24"/>
      <c r="L32" s="25"/>
      <c r="M32" s="24" t="s">
        <v>264</v>
      </c>
      <c r="N32" s="24"/>
    </row>
    <row r="33" spans="1:14" x14ac:dyDescent="0.25">
      <c r="A33" s="23" t="s">
        <v>104</v>
      </c>
      <c r="B33" s="24" t="s">
        <v>105</v>
      </c>
      <c r="C33" s="25"/>
      <c r="D33" s="24"/>
      <c r="E33" s="24"/>
      <c r="F33" s="25"/>
      <c r="G33" s="24"/>
      <c r="H33" s="24"/>
      <c r="I33" s="25"/>
      <c r="J33" s="24"/>
      <c r="K33" s="24"/>
      <c r="L33" s="25"/>
      <c r="M33" s="24" t="s">
        <v>265</v>
      </c>
      <c r="N33" s="24"/>
    </row>
    <row r="34" spans="1:14" x14ac:dyDescent="0.25">
      <c r="A34" s="23" t="s">
        <v>31</v>
      </c>
      <c r="B34" s="24" t="s">
        <v>32</v>
      </c>
      <c r="C34" s="25"/>
      <c r="D34" s="24"/>
      <c r="E34" s="24"/>
      <c r="F34" s="25"/>
      <c r="G34" s="24"/>
      <c r="H34" s="24"/>
      <c r="I34" s="25"/>
      <c r="J34" s="24"/>
      <c r="K34" s="24"/>
      <c r="L34" s="25"/>
      <c r="M34" s="24" t="s">
        <v>266</v>
      </c>
      <c r="N34" s="24"/>
    </row>
    <row r="35" spans="1:14" x14ac:dyDescent="0.25">
      <c r="A35" s="23" t="s">
        <v>106</v>
      </c>
      <c r="B35" s="24" t="s">
        <v>107</v>
      </c>
      <c r="C35" s="25"/>
      <c r="D35" s="24"/>
      <c r="E35" s="24"/>
      <c r="F35" s="25"/>
      <c r="G35" s="24"/>
      <c r="H35" s="24"/>
      <c r="I35" s="25"/>
      <c r="J35" s="24"/>
      <c r="K35" s="24"/>
      <c r="L35" s="25"/>
      <c r="M35" s="24" t="s">
        <v>267</v>
      </c>
      <c r="N35" s="24"/>
    </row>
    <row r="36" spans="1:14" x14ac:dyDescent="0.25">
      <c r="A36" s="23" t="s">
        <v>108</v>
      </c>
      <c r="B36" s="24" t="s">
        <v>109</v>
      </c>
      <c r="C36" s="25"/>
      <c r="D36" s="24"/>
      <c r="E36" s="24"/>
      <c r="F36" s="25"/>
      <c r="G36" s="24"/>
      <c r="H36" s="24"/>
      <c r="I36" s="25"/>
      <c r="J36" s="24"/>
      <c r="K36" s="24"/>
      <c r="L36" s="25"/>
      <c r="M36" s="24" t="s">
        <v>268</v>
      </c>
      <c r="N36" s="24"/>
    </row>
    <row r="37" spans="1:14" x14ac:dyDescent="0.25">
      <c r="A37" s="23" t="s">
        <v>110</v>
      </c>
      <c r="B37" s="24" t="s">
        <v>111</v>
      </c>
      <c r="C37" s="25"/>
      <c r="D37" s="24"/>
      <c r="E37" s="24"/>
      <c r="F37" s="25"/>
      <c r="G37" s="24"/>
      <c r="H37" s="24"/>
      <c r="I37" s="25"/>
      <c r="J37" s="24"/>
      <c r="K37" s="24"/>
      <c r="L37" s="25"/>
      <c r="M37" s="24" t="s">
        <v>269</v>
      </c>
      <c r="N37" s="24"/>
    </row>
    <row r="38" spans="1:14" x14ac:dyDescent="0.25">
      <c r="A38" s="23" t="s">
        <v>112</v>
      </c>
      <c r="B38" s="24" t="s">
        <v>113</v>
      </c>
      <c r="C38" s="25"/>
      <c r="D38" s="24"/>
      <c r="E38" s="24"/>
      <c r="F38" s="25"/>
      <c r="G38" s="24"/>
      <c r="H38" s="24"/>
      <c r="I38" s="25"/>
      <c r="J38" s="24"/>
      <c r="K38" s="24"/>
      <c r="L38" s="25"/>
      <c r="M38" s="24" t="s">
        <v>270</v>
      </c>
      <c r="N38" s="24"/>
    </row>
    <row r="39" spans="1:14" x14ac:dyDescent="0.25">
      <c r="A39" s="23" t="s">
        <v>114</v>
      </c>
      <c r="B39" s="24" t="s">
        <v>115</v>
      </c>
      <c r="C39" s="25"/>
      <c r="D39" s="24"/>
      <c r="E39" s="24"/>
      <c r="F39" s="25"/>
      <c r="G39" s="24"/>
      <c r="H39" s="24"/>
      <c r="I39" s="25"/>
      <c r="J39" s="24"/>
      <c r="K39" s="24"/>
      <c r="L39" s="25"/>
      <c r="M39" s="24" t="s">
        <v>57</v>
      </c>
      <c r="N39" s="24"/>
    </row>
    <row r="40" spans="1:14" x14ac:dyDescent="0.25">
      <c r="A40" s="23" t="s">
        <v>116</v>
      </c>
      <c r="B40" s="24" t="s">
        <v>37</v>
      </c>
      <c r="C40" s="25"/>
      <c r="D40" s="24"/>
      <c r="E40" s="24"/>
      <c r="F40" s="25"/>
      <c r="G40" s="24"/>
      <c r="H40" s="24"/>
      <c r="I40" s="25"/>
      <c r="J40" s="24"/>
      <c r="K40" s="24"/>
      <c r="L40" s="25"/>
      <c r="M40" s="24" t="s">
        <v>271</v>
      </c>
      <c r="N40" s="24"/>
    </row>
    <row r="41" spans="1:14" x14ac:dyDescent="0.25">
      <c r="A41" s="23" t="s">
        <v>117</v>
      </c>
      <c r="B41" s="24" t="s">
        <v>118</v>
      </c>
      <c r="C41" s="25"/>
      <c r="D41" s="24"/>
      <c r="E41" s="24"/>
      <c r="F41" s="25"/>
      <c r="G41" s="24"/>
      <c r="H41" s="24"/>
      <c r="I41" s="25"/>
      <c r="J41" s="24"/>
      <c r="K41" s="24"/>
      <c r="L41" s="25"/>
      <c r="M41" s="24" t="s">
        <v>80</v>
      </c>
      <c r="N41" s="24"/>
    </row>
    <row r="42" spans="1:14" x14ac:dyDescent="0.25">
      <c r="A42" s="23" t="s">
        <v>119</v>
      </c>
      <c r="B42" s="24" t="s">
        <v>120</v>
      </c>
      <c r="C42" s="25"/>
      <c r="D42" s="24"/>
      <c r="E42" s="24"/>
      <c r="F42" s="25"/>
      <c r="G42" s="24"/>
      <c r="H42" s="24"/>
      <c r="I42" s="25"/>
      <c r="J42" s="24"/>
      <c r="K42" s="24"/>
      <c r="L42" s="25"/>
      <c r="M42" s="24" t="s">
        <v>272</v>
      </c>
      <c r="N42" s="24"/>
    </row>
    <row r="43" spans="1:14" x14ac:dyDescent="0.25">
      <c r="A43" s="23" t="s">
        <v>121</v>
      </c>
      <c r="B43" s="24" t="s">
        <v>122</v>
      </c>
      <c r="C43" s="25"/>
      <c r="D43" s="24"/>
      <c r="E43" s="24"/>
      <c r="F43" s="25"/>
      <c r="G43" s="24"/>
      <c r="H43" s="24"/>
      <c r="I43" s="25"/>
      <c r="J43" s="24"/>
      <c r="K43" s="24"/>
      <c r="L43" s="25"/>
      <c r="M43" s="24" t="s">
        <v>273</v>
      </c>
      <c r="N43" s="24"/>
    </row>
    <row r="44" spans="1:14" x14ac:dyDescent="0.25">
      <c r="A44" s="23" t="s">
        <v>123</v>
      </c>
      <c r="B44" s="24" t="s">
        <v>124</v>
      </c>
      <c r="C44" s="25"/>
      <c r="D44" s="24"/>
      <c r="E44" s="24"/>
      <c r="F44" s="25"/>
      <c r="G44" s="24"/>
      <c r="H44" s="24"/>
      <c r="I44" s="25"/>
      <c r="J44" s="24"/>
      <c r="K44" s="24"/>
      <c r="L44" s="25"/>
      <c r="M44" s="24" t="s">
        <v>274</v>
      </c>
      <c r="N44" s="24"/>
    </row>
    <row r="45" spans="1:14" x14ac:dyDescent="0.25">
      <c r="A45" s="23" t="s">
        <v>125</v>
      </c>
      <c r="B45" s="24" t="s">
        <v>39</v>
      </c>
      <c r="C45" s="25"/>
      <c r="D45" s="24"/>
      <c r="E45" s="24"/>
      <c r="F45" s="25"/>
      <c r="G45" s="24"/>
      <c r="H45" s="24"/>
      <c r="I45" s="25"/>
      <c r="J45" s="24"/>
      <c r="K45" s="24"/>
      <c r="L45" s="25"/>
      <c r="M45" s="24" t="s">
        <v>275</v>
      </c>
      <c r="N45" s="24"/>
    </row>
    <row r="46" spans="1:14" x14ac:dyDescent="0.25">
      <c r="A46" s="23" t="s">
        <v>126</v>
      </c>
      <c r="B46" s="24" t="s">
        <v>47</v>
      </c>
      <c r="C46" s="25"/>
      <c r="D46" s="24"/>
      <c r="E46" s="24"/>
      <c r="F46" s="25"/>
      <c r="G46" s="24"/>
      <c r="H46" s="24"/>
      <c r="I46" s="25"/>
      <c r="J46" s="24"/>
      <c r="K46" s="24"/>
      <c r="L46" s="25"/>
      <c r="M46" s="24" t="s">
        <v>276</v>
      </c>
      <c r="N46" s="24"/>
    </row>
    <row r="47" spans="1:14" x14ac:dyDescent="0.25">
      <c r="A47" s="23" t="s">
        <v>127</v>
      </c>
      <c r="B47" s="24" t="s">
        <v>128</v>
      </c>
      <c r="C47" s="25"/>
      <c r="D47" s="24"/>
      <c r="E47" s="24"/>
      <c r="F47" s="25"/>
      <c r="G47" s="24"/>
      <c r="H47" s="24"/>
      <c r="I47" s="25"/>
      <c r="J47" s="24"/>
      <c r="K47" s="24"/>
      <c r="L47" s="25"/>
      <c r="M47" s="24" t="s">
        <v>277</v>
      </c>
      <c r="N47" s="24"/>
    </row>
    <row r="48" spans="1:14" x14ac:dyDescent="0.25">
      <c r="A48" s="23" t="s">
        <v>129</v>
      </c>
      <c r="B48" s="24" t="s">
        <v>130</v>
      </c>
      <c r="C48" s="25"/>
      <c r="D48" s="24"/>
      <c r="E48" s="24"/>
      <c r="F48" s="25"/>
      <c r="G48" s="24"/>
      <c r="H48" s="24"/>
      <c r="I48" s="25"/>
      <c r="J48" s="24"/>
      <c r="K48" s="24"/>
      <c r="L48" s="25"/>
      <c r="M48" s="24" t="s">
        <v>59</v>
      </c>
      <c r="N48" s="24"/>
    </row>
    <row r="49" spans="1:14" x14ac:dyDescent="0.25">
      <c r="A49" s="23" t="s">
        <v>131</v>
      </c>
      <c r="B49" s="24" t="s">
        <v>45</v>
      </c>
      <c r="C49" s="25"/>
      <c r="D49" s="24"/>
      <c r="E49" s="24"/>
      <c r="F49" s="25"/>
      <c r="G49" s="24"/>
      <c r="H49" s="24"/>
      <c r="I49" s="25"/>
      <c r="J49" s="24"/>
      <c r="K49" s="24"/>
      <c r="L49" s="25"/>
      <c r="M49" s="24" t="s">
        <v>278</v>
      </c>
      <c r="N49" s="24"/>
    </row>
    <row r="50" spans="1:14" x14ac:dyDescent="0.25">
      <c r="A50" s="23" t="s">
        <v>132</v>
      </c>
      <c r="B50" s="24" t="s">
        <v>133</v>
      </c>
      <c r="C50" s="25"/>
      <c r="D50" s="24"/>
      <c r="E50" s="24"/>
      <c r="F50" s="25"/>
      <c r="G50" s="24"/>
      <c r="H50" s="24"/>
      <c r="I50" s="25"/>
      <c r="J50" s="24"/>
      <c r="K50" s="24"/>
      <c r="L50" s="25"/>
      <c r="M50" s="24" t="s">
        <v>279</v>
      </c>
      <c r="N50" s="24"/>
    </row>
    <row r="51" spans="1:14" x14ac:dyDescent="0.25">
      <c r="A51" s="23" t="s">
        <v>134</v>
      </c>
      <c r="B51" s="24" t="s">
        <v>135</v>
      </c>
      <c r="C51" s="25"/>
      <c r="D51" s="24"/>
      <c r="E51" s="24"/>
      <c r="F51" s="25"/>
      <c r="G51" s="24"/>
      <c r="H51" s="24"/>
      <c r="I51" s="25"/>
      <c r="J51" s="24"/>
      <c r="K51" s="24"/>
      <c r="L51" s="25"/>
      <c r="M51" s="24" t="s">
        <v>280</v>
      </c>
      <c r="N51" s="24"/>
    </row>
    <row r="52" spans="1:14" x14ac:dyDescent="0.25">
      <c r="A52" s="23" t="s">
        <v>136</v>
      </c>
      <c r="B52" s="24" t="s">
        <v>137</v>
      </c>
      <c r="C52" s="25"/>
      <c r="D52" s="24"/>
      <c r="E52" s="24"/>
      <c r="F52" s="25"/>
      <c r="G52" s="24"/>
      <c r="H52" s="24"/>
      <c r="I52" s="25"/>
      <c r="J52" s="24"/>
      <c r="K52" s="24"/>
      <c r="L52" s="25"/>
      <c r="M52" s="24" t="s">
        <v>281</v>
      </c>
      <c r="N52" s="24"/>
    </row>
    <row r="53" spans="1:14" x14ac:dyDescent="0.25">
      <c r="A53" s="23" t="s">
        <v>138</v>
      </c>
      <c r="B53" s="24" t="s">
        <v>139</v>
      </c>
      <c r="C53" s="25"/>
      <c r="D53" s="24"/>
      <c r="E53" s="24"/>
      <c r="F53" s="25"/>
      <c r="G53" s="24"/>
      <c r="H53" s="24"/>
      <c r="I53" s="25"/>
      <c r="J53" s="24"/>
      <c r="K53" s="24"/>
      <c r="L53" s="25"/>
      <c r="M53" s="24" t="s">
        <v>282</v>
      </c>
      <c r="N53" s="24"/>
    </row>
    <row r="54" spans="1:1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4" t="s">
        <v>283</v>
      </c>
      <c r="N54" s="24"/>
    </row>
    <row r="55" spans="1:14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4" t="s">
        <v>284</v>
      </c>
      <c r="N55" s="24"/>
    </row>
    <row r="56" spans="1:14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4" t="s">
        <v>285</v>
      </c>
      <c r="N56" s="24"/>
    </row>
    <row r="57" spans="1:14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4" t="s">
        <v>286</v>
      </c>
      <c r="N57" s="24"/>
    </row>
    <row r="58" spans="1:14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4" t="s">
        <v>287</v>
      </c>
      <c r="N58" s="24"/>
    </row>
    <row r="59" spans="1:14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4" t="s">
        <v>238</v>
      </c>
      <c r="N59" s="24"/>
    </row>
    <row r="60" spans="1:14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4" t="s">
        <v>237</v>
      </c>
      <c r="N60" s="24"/>
    </row>
    <row r="61" spans="1:14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4" t="s">
        <v>288</v>
      </c>
      <c r="N61" s="24"/>
    </row>
    <row r="62" spans="1:14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4" t="s">
        <v>289</v>
      </c>
      <c r="N62" s="24"/>
    </row>
    <row r="63" spans="1:14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4" t="s">
        <v>290</v>
      </c>
      <c r="N63" s="24"/>
    </row>
    <row r="64" spans="1:14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4" t="s">
        <v>291</v>
      </c>
      <c r="N64" s="24"/>
    </row>
    <row r="65" spans="1:14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4" t="s">
        <v>292</v>
      </c>
      <c r="N65" s="24"/>
    </row>
    <row r="66" spans="1:14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4" t="s">
        <v>293</v>
      </c>
      <c r="N66" s="24"/>
    </row>
    <row r="67" spans="1:14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4" t="s">
        <v>294</v>
      </c>
      <c r="N67" s="24"/>
    </row>
    <row r="68" spans="1:14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4" t="s">
        <v>295</v>
      </c>
      <c r="N68" s="24"/>
    </row>
    <row r="69" spans="1:14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4" t="s">
        <v>296</v>
      </c>
      <c r="N69" s="24"/>
    </row>
    <row r="70" spans="1:14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4" t="s">
        <v>297</v>
      </c>
      <c r="N70" s="24"/>
    </row>
    <row r="71" spans="1:14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4" t="s">
        <v>298</v>
      </c>
      <c r="N71" s="24"/>
    </row>
    <row r="72" spans="1:14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4" t="s">
        <v>299</v>
      </c>
      <c r="N72" s="24"/>
    </row>
    <row r="73" spans="1:14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4" t="s">
        <v>38</v>
      </c>
      <c r="N73" s="24"/>
    </row>
    <row r="74" spans="1:14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4" t="s">
        <v>300</v>
      </c>
      <c r="N74" s="24"/>
    </row>
    <row r="75" spans="1:14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4" t="s">
        <v>301</v>
      </c>
      <c r="N75" s="24"/>
    </row>
    <row r="76" spans="1:14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4" t="s">
        <v>44</v>
      </c>
      <c r="N76" s="24"/>
    </row>
    <row r="77" spans="1:14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4" t="s">
        <v>302</v>
      </c>
      <c r="N77" s="24"/>
    </row>
    <row r="78" spans="1:14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4" t="s">
        <v>303</v>
      </c>
      <c r="N78" s="24"/>
    </row>
    <row r="79" spans="1:14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4" t="s">
        <v>40</v>
      </c>
      <c r="N79" s="24"/>
    </row>
    <row r="80" spans="1:14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4" t="s">
        <v>304</v>
      </c>
      <c r="N80" s="24"/>
    </row>
    <row r="81" spans="1:14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4" t="s">
        <v>305</v>
      </c>
      <c r="N81" s="24"/>
    </row>
    <row r="82" spans="1:14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4" t="s">
        <v>306</v>
      </c>
      <c r="N82" s="24"/>
    </row>
    <row r="83" spans="1:14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4" t="s">
        <v>307</v>
      </c>
      <c r="N83" s="24"/>
    </row>
    <row r="84" spans="1:14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4" t="s">
        <v>308</v>
      </c>
      <c r="N84" s="24"/>
    </row>
    <row r="85" spans="1:14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4" t="s">
        <v>309</v>
      </c>
      <c r="N85" s="24"/>
    </row>
    <row r="86" spans="1:14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4" t="s">
        <v>310</v>
      </c>
      <c r="N86" s="24"/>
    </row>
    <row r="87" spans="1:14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4" t="s">
        <v>311</v>
      </c>
      <c r="N87" s="24"/>
    </row>
    <row r="88" spans="1:14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4" t="s">
        <v>312</v>
      </c>
      <c r="N88" s="24"/>
    </row>
    <row r="89" spans="1:14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4" t="s">
        <v>313</v>
      </c>
      <c r="N89" s="24"/>
    </row>
    <row r="90" spans="1:14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4" t="s">
        <v>314</v>
      </c>
      <c r="N90" s="24"/>
    </row>
    <row r="91" spans="1:14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4" t="s">
        <v>315</v>
      </c>
      <c r="N91" s="24"/>
    </row>
    <row r="92" spans="1:14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4" t="s">
        <v>316</v>
      </c>
      <c r="N92" s="24"/>
    </row>
    <row r="93" spans="1:14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4" t="s">
        <v>317</v>
      </c>
      <c r="N93" s="24"/>
    </row>
    <row r="94" spans="1:14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4" t="s">
        <v>318</v>
      </c>
      <c r="N94" s="24"/>
    </row>
    <row r="95" spans="1:14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4" t="s">
        <v>319</v>
      </c>
      <c r="N95" s="24"/>
    </row>
    <row r="96" spans="1:14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4" t="s">
        <v>74</v>
      </c>
      <c r="N96" s="24"/>
    </row>
    <row r="97" spans="1:14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4" t="s">
        <v>70</v>
      </c>
      <c r="N97" s="24"/>
    </row>
    <row r="98" spans="1:14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4" t="s">
        <v>320</v>
      </c>
      <c r="N98" s="24"/>
    </row>
    <row r="99" spans="1:14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4" t="s">
        <v>321</v>
      </c>
      <c r="N99" s="24"/>
    </row>
    <row r="100" spans="1:14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4" t="s">
        <v>322</v>
      </c>
      <c r="N100" s="24"/>
    </row>
    <row r="101" spans="1:14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4" t="s">
        <v>323</v>
      </c>
      <c r="N101" s="24"/>
    </row>
    <row r="102" spans="1:14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4" t="s">
        <v>72</v>
      </c>
      <c r="N102" s="24"/>
    </row>
    <row r="103" spans="1:14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4" t="s">
        <v>36</v>
      </c>
      <c r="N103" s="24"/>
    </row>
    <row r="104" spans="1:14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4" t="s">
        <v>324</v>
      </c>
      <c r="N104" s="24"/>
    </row>
    <row r="105" spans="1:14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4" t="s">
        <v>325</v>
      </c>
      <c r="N105" s="24"/>
    </row>
    <row r="106" spans="1:14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4" t="s">
        <v>34</v>
      </c>
      <c r="N106" s="24"/>
    </row>
    <row r="107" spans="1:14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4" t="s">
        <v>240</v>
      </c>
      <c r="N107" s="24"/>
    </row>
    <row r="108" spans="1:14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4" t="s">
        <v>326</v>
      </c>
      <c r="N108" s="24"/>
    </row>
    <row r="109" spans="1:14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4" t="s">
        <v>327</v>
      </c>
      <c r="N109" s="24"/>
    </row>
    <row r="110" spans="1:14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4" t="s">
        <v>328</v>
      </c>
      <c r="N110" s="24"/>
    </row>
    <row r="111" spans="1:14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4" t="s">
        <v>329</v>
      </c>
      <c r="N111" s="24"/>
    </row>
    <row r="112" spans="1:14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4" t="s">
        <v>330</v>
      </c>
      <c r="N112" s="24"/>
    </row>
    <row r="113" spans="1:14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4" t="s">
        <v>331</v>
      </c>
      <c r="N113" s="24"/>
    </row>
    <row r="114" spans="1:14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4" t="s">
        <v>332</v>
      </c>
      <c r="N114" s="24"/>
    </row>
    <row r="115" spans="1:14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4" t="s">
        <v>35</v>
      </c>
      <c r="N115" s="24"/>
    </row>
    <row r="116" spans="1:14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4" t="s">
        <v>333</v>
      </c>
      <c r="N116" s="24"/>
    </row>
    <row r="117" spans="1:14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4" t="s">
        <v>334</v>
      </c>
      <c r="N117" s="24"/>
    </row>
    <row r="118" spans="1:14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4" t="s">
        <v>335</v>
      </c>
      <c r="N118" s="24"/>
    </row>
    <row r="119" spans="1:14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4" t="s">
        <v>336</v>
      </c>
      <c r="N119" s="24"/>
    </row>
    <row r="120" spans="1:14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4" t="s">
        <v>337</v>
      </c>
      <c r="N120" s="24"/>
    </row>
    <row r="121" spans="1:14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4" t="s">
        <v>338</v>
      </c>
      <c r="N121" s="24"/>
    </row>
    <row r="122" spans="1:14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4" t="s">
        <v>339</v>
      </c>
      <c r="N122" s="24"/>
    </row>
    <row r="123" spans="1:14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4" t="s">
        <v>340</v>
      </c>
      <c r="N123" s="24"/>
    </row>
    <row r="124" spans="1:14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4" t="s">
        <v>95</v>
      </c>
      <c r="N124" s="24"/>
    </row>
    <row r="125" spans="1:14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4" t="s">
        <v>341</v>
      </c>
      <c r="N125" s="24"/>
    </row>
    <row r="126" spans="1:14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4" t="s">
        <v>179</v>
      </c>
      <c r="N126" s="24"/>
    </row>
    <row r="127" spans="1:14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4" t="s">
        <v>342</v>
      </c>
      <c r="N127" s="24"/>
    </row>
    <row r="128" spans="1:14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4" t="s">
        <v>343</v>
      </c>
      <c r="N128" s="24"/>
    </row>
    <row r="129" spans="1:14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4" t="s">
        <v>344</v>
      </c>
      <c r="N129" s="24"/>
    </row>
    <row r="130" spans="1:14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4" t="s">
        <v>345</v>
      </c>
      <c r="N130" s="24"/>
    </row>
    <row r="131" spans="1:14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4" t="s">
        <v>97</v>
      </c>
      <c r="N131" s="24"/>
    </row>
    <row r="132" spans="1:14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4" t="s">
        <v>346</v>
      </c>
      <c r="N132" s="24"/>
    </row>
    <row r="133" spans="1:14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4" t="s">
        <v>347</v>
      </c>
      <c r="N133" s="24"/>
    </row>
    <row r="134" spans="1:14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4" t="s">
        <v>348</v>
      </c>
      <c r="N134" s="24"/>
    </row>
    <row r="135" spans="1:14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4" t="s">
        <v>169</v>
      </c>
      <c r="N135" s="24"/>
    </row>
    <row r="136" spans="1:14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4" t="s">
        <v>349</v>
      </c>
      <c r="N136" s="24"/>
    </row>
    <row r="137" spans="1:14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4" t="s">
        <v>350</v>
      </c>
      <c r="N137" s="24"/>
    </row>
    <row r="138" spans="1:14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4" t="s">
        <v>85</v>
      </c>
      <c r="N138" s="24"/>
    </row>
    <row r="139" spans="1:14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4" t="s">
        <v>351</v>
      </c>
      <c r="N139" s="24"/>
    </row>
    <row r="140" spans="1:14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4" t="s">
        <v>91</v>
      </c>
      <c r="N140" s="24"/>
    </row>
    <row r="141" spans="1:14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4" t="s">
        <v>83</v>
      </c>
      <c r="N141" s="24"/>
    </row>
    <row r="142" spans="1:14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4" t="s">
        <v>93</v>
      </c>
      <c r="N142" s="24"/>
    </row>
    <row r="143" spans="1:14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4" t="s">
        <v>87</v>
      </c>
      <c r="N143" s="24"/>
    </row>
    <row r="144" spans="1:14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4" t="s">
        <v>352</v>
      </c>
      <c r="N144" s="24"/>
    </row>
    <row r="145" spans="1:14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4" t="s">
        <v>353</v>
      </c>
      <c r="N145" s="24"/>
    </row>
    <row r="146" spans="1:14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4" t="s">
        <v>354</v>
      </c>
      <c r="N146" s="24"/>
    </row>
    <row r="147" spans="1:14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4" t="s">
        <v>355</v>
      </c>
      <c r="N147" s="24"/>
    </row>
    <row r="148" spans="1:14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4" t="s">
        <v>356</v>
      </c>
      <c r="N148" s="24"/>
    </row>
    <row r="149" spans="1:14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4" t="s">
        <v>153</v>
      </c>
      <c r="N149" s="24"/>
    </row>
    <row r="150" spans="1:14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4" t="s">
        <v>357</v>
      </c>
      <c r="N150" s="24"/>
    </row>
    <row r="151" spans="1:14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4" t="s">
        <v>107</v>
      </c>
      <c r="N151" s="24"/>
    </row>
    <row r="152" spans="1:14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4" t="s">
        <v>358</v>
      </c>
      <c r="N152" s="24"/>
    </row>
    <row r="153" spans="1:14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4" t="s">
        <v>359</v>
      </c>
      <c r="N153" s="24"/>
    </row>
    <row r="154" spans="1:14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4" t="s">
        <v>142</v>
      </c>
      <c r="N154" s="24"/>
    </row>
    <row r="155" spans="1:14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4" t="s">
        <v>360</v>
      </c>
      <c r="N155" s="24"/>
    </row>
    <row r="156" spans="1:14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4" t="s">
        <v>159</v>
      </c>
      <c r="N156" s="24"/>
    </row>
    <row r="157" spans="1:14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4" t="s">
        <v>361</v>
      </c>
      <c r="N157" s="24"/>
    </row>
    <row r="158" spans="1:14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4" t="s">
        <v>362</v>
      </c>
      <c r="N158" s="24"/>
    </row>
    <row r="159" spans="1:14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4" t="s">
        <v>363</v>
      </c>
      <c r="N159" s="24"/>
    </row>
    <row r="160" spans="1:14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4" t="s">
        <v>364</v>
      </c>
      <c r="N160" s="24"/>
    </row>
    <row r="161" spans="1:14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4" t="s">
        <v>365</v>
      </c>
      <c r="N161" s="24"/>
    </row>
    <row r="162" spans="1:14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4" t="s">
        <v>366</v>
      </c>
      <c r="N162" s="24"/>
    </row>
    <row r="163" spans="1:14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4" t="s">
        <v>367</v>
      </c>
      <c r="N163" s="24"/>
    </row>
    <row r="164" spans="1:14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4" t="s">
        <v>37</v>
      </c>
      <c r="N164" s="24"/>
    </row>
    <row r="165" spans="1:14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4" t="s">
        <v>368</v>
      </c>
      <c r="N165" s="24"/>
    </row>
    <row r="166" spans="1:14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4" t="s">
        <v>369</v>
      </c>
      <c r="N166" s="24"/>
    </row>
    <row r="167" spans="1:14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4" t="s">
        <v>163</v>
      </c>
      <c r="N167" s="24"/>
    </row>
    <row r="168" spans="1:14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4" t="s">
        <v>370</v>
      </c>
      <c r="N168" s="24"/>
    </row>
    <row r="169" spans="1:14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4" t="s">
        <v>371</v>
      </c>
      <c r="N169" s="24"/>
    </row>
    <row r="170" spans="1:14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4" t="s">
        <v>372</v>
      </c>
      <c r="N170" s="24"/>
    </row>
    <row r="171" spans="1:14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4" t="s">
        <v>373</v>
      </c>
      <c r="N171" s="24"/>
    </row>
    <row r="172" spans="1:14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4" t="s">
        <v>118</v>
      </c>
      <c r="N172" s="24"/>
    </row>
    <row r="173" spans="1:14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4" t="s">
        <v>374</v>
      </c>
      <c r="N173" s="24"/>
    </row>
    <row r="174" spans="1:14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4" t="s">
        <v>375</v>
      </c>
      <c r="N174" s="24"/>
    </row>
    <row r="175" spans="1:14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4" t="s">
        <v>376</v>
      </c>
      <c r="N175" s="24"/>
    </row>
    <row r="176" spans="1:14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4" t="s">
        <v>185</v>
      </c>
      <c r="N176" s="24"/>
    </row>
    <row r="177" spans="1:14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4" t="s">
        <v>377</v>
      </c>
      <c r="N177" s="24"/>
    </row>
    <row r="178" spans="1:14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4" t="s">
        <v>378</v>
      </c>
      <c r="N178" s="24"/>
    </row>
    <row r="179" spans="1:14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4" t="s">
        <v>379</v>
      </c>
      <c r="N179" s="24"/>
    </row>
    <row r="180" spans="1:14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4" t="s">
        <v>380</v>
      </c>
      <c r="N180" s="24"/>
    </row>
    <row r="181" spans="1:14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4" t="s">
        <v>381</v>
      </c>
      <c r="N181" s="24"/>
    </row>
    <row r="182" spans="1:14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4" t="s">
        <v>382</v>
      </c>
      <c r="N182" s="24"/>
    </row>
    <row r="183" spans="1:14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4" t="s">
        <v>383</v>
      </c>
      <c r="N183" s="24"/>
    </row>
    <row r="184" spans="1:14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4" t="s">
        <v>384</v>
      </c>
      <c r="N184" s="24"/>
    </row>
    <row r="185" spans="1:14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4" t="s">
        <v>385</v>
      </c>
      <c r="N185" s="24"/>
    </row>
    <row r="186" spans="1:14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4" t="s">
        <v>386</v>
      </c>
      <c r="N186" s="24"/>
    </row>
    <row r="187" spans="1:14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4" t="s">
        <v>387</v>
      </c>
      <c r="N187" s="24"/>
    </row>
    <row r="188" spans="1:14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4" t="s">
        <v>388</v>
      </c>
      <c r="N188" s="24"/>
    </row>
    <row r="189" spans="1:14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4" t="s">
        <v>228</v>
      </c>
      <c r="N189" s="24"/>
    </row>
    <row r="190" spans="1:14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4" t="s">
        <v>389</v>
      </c>
      <c r="N190" s="24"/>
    </row>
    <row r="191" spans="1:14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4" t="s">
        <v>184</v>
      </c>
      <c r="N191" s="24"/>
    </row>
    <row r="192" spans="1:14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4" t="s">
        <v>122</v>
      </c>
      <c r="N192" s="24"/>
    </row>
    <row r="193" spans="1:14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4" t="s">
        <v>390</v>
      </c>
      <c r="N193" s="24"/>
    </row>
    <row r="194" spans="1:14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4" t="s">
        <v>391</v>
      </c>
      <c r="N194" s="24"/>
    </row>
    <row r="195" spans="1:14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4" t="s">
        <v>392</v>
      </c>
      <c r="N195" s="24"/>
    </row>
    <row r="196" spans="1:14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4" t="s">
        <v>167</v>
      </c>
      <c r="N196" s="24"/>
    </row>
    <row r="197" spans="1:14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4" t="s">
        <v>393</v>
      </c>
      <c r="N197" s="24"/>
    </row>
    <row r="198" spans="1:14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4" t="s">
        <v>394</v>
      </c>
      <c r="N198" s="24"/>
    </row>
    <row r="199" spans="1:14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4" t="s">
        <v>395</v>
      </c>
      <c r="N199" s="24"/>
    </row>
    <row r="200" spans="1:14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4" t="s">
        <v>396</v>
      </c>
      <c r="N200" s="24"/>
    </row>
    <row r="201" spans="1:14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4" t="s">
        <v>397</v>
      </c>
      <c r="N201" s="24"/>
    </row>
    <row r="202" spans="1:14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4" t="s">
        <v>398</v>
      </c>
      <c r="N202" s="24"/>
    </row>
    <row r="203" spans="1:14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4" t="s">
        <v>177</v>
      </c>
      <c r="N203" s="24"/>
    </row>
    <row r="204" spans="1:14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4" t="s">
        <v>399</v>
      </c>
      <c r="N204" s="24"/>
    </row>
    <row r="205" spans="1:14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4" t="s">
        <v>124</v>
      </c>
      <c r="N205" s="24"/>
    </row>
    <row r="206" spans="1:14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4" t="s">
        <v>400</v>
      </c>
      <c r="N206" s="24"/>
    </row>
    <row r="207" spans="1:14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4" t="s">
        <v>401</v>
      </c>
      <c r="N207" s="24"/>
    </row>
    <row r="208" spans="1:14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4" t="s">
        <v>402</v>
      </c>
      <c r="N208" s="24"/>
    </row>
    <row r="209" spans="1:14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4" t="s">
        <v>188</v>
      </c>
      <c r="N209" s="24"/>
    </row>
    <row r="210" spans="1:14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4" t="s">
        <v>41</v>
      </c>
      <c r="N210" s="24"/>
    </row>
    <row r="211" spans="1:14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4" t="s">
        <v>403</v>
      </c>
      <c r="N211" s="24"/>
    </row>
    <row r="212" spans="1:14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4" t="s">
        <v>404</v>
      </c>
      <c r="N212" s="24"/>
    </row>
    <row r="213" spans="1:14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4" t="s">
        <v>405</v>
      </c>
      <c r="N213" s="24"/>
    </row>
    <row r="214" spans="1:14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4" t="s">
        <v>406</v>
      </c>
      <c r="N214" s="24"/>
    </row>
    <row r="215" spans="1:14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4" t="s">
        <v>407</v>
      </c>
      <c r="N215" s="24"/>
    </row>
    <row r="216" spans="1:14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4" t="s">
        <v>408</v>
      </c>
      <c r="N216" s="24"/>
    </row>
    <row r="217" spans="1:14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4" t="s">
        <v>409</v>
      </c>
      <c r="N217" s="24"/>
    </row>
    <row r="218" spans="1:14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4" t="s">
        <v>189</v>
      </c>
      <c r="N218" s="24"/>
    </row>
    <row r="219" spans="1:14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4" t="s">
        <v>410</v>
      </c>
      <c r="N219" s="24"/>
    </row>
    <row r="220" spans="1:14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4" t="s">
        <v>39</v>
      </c>
      <c r="N220" s="24"/>
    </row>
    <row r="221" spans="1:14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4" t="s">
        <v>411</v>
      </c>
      <c r="N221" s="24"/>
    </row>
    <row r="222" spans="1:14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4" t="s">
        <v>412</v>
      </c>
      <c r="N222" s="24"/>
    </row>
    <row r="223" spans="1:14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4" t="s">
        <v>413</v>
      </c>
      <c r="N223" s="24"/>
    </row>
    <row r="224" spans="1:14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4" t="s">
        <v>414</v>
      </c>
      <c r="N224" s="24"/>
    </row>
    <row r="225" spans="1:14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4" t="s">
        <v>415</v>
      </c>
      <c r="N225" s="24"/>
    </row>
    <row r="226" spans="1:14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4" t="s">
        <v>416</v>
      </c>
      <c r="N226" s="24"/>
    </row>
    <row r="227" spans="1:14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4" t="s">
        <v>417</v>
      </c>
      <c r="N227" s="24"/>
    </row>
    <row r="228" spans="1:14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4" t="s">
        <v>418</v>
      </c>
      <c r="N228" s="24"/>
    </row>
    <row r="229" spans="1:14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4" t="s">
        <v>46</v>
      </c>
      <c r="N229" s="24"/>
    </row>
    <row r="230" spans="1:14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4" t="s">
        <v>33</v>
      </c>
      <c r="N230" s="24"/>
    </row>
    <row r="231" spans="1:14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4" t="s">
        <v>419</v>
      </c>
      <c r="N231" s="24"/>
    </row>
    <row r="232" spans="1:14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4" t="s">
        <v>420</v>
      </c>
      <c r="N232" s="24"/>
    </row>
    <row r="233" spans="1:14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4" t="s">
        <v>421</v>
      </c>
      <c r="N233" s="24"/>
    </row>
    <row r="234" spans="1:14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4" t="s">
        <v>45</v>
      </c>
      <c r="N234" s="24"/>
    </row>
    <row r="235" spans="1:14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4" t="s">
        <v>422</v>
      </c>
      <c r="N235" s="24"/>
    </row>
    <row r="236" spans="1:14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4" t="s">
        <v>423</v>
      </c>
      <c r="N236" s="24"/>
    </row>
    <row r="237" spans="1:14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4" t="s">
        <v>424</v>
      </c>
      <c r="N237" s="24"/>
    </row>
    <row r="238" spans="1:14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4" t="s">
        <v>425</v>
      </c>
      <c r="N238" s="24"/>
    </row>
    <row r="239" spans="1:14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4" t="s">
        <v>426</v>
      </c>
      <c r="N239" s="24"/>
    </row>
    <row r="240" spans="1:14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4" t="s">
        <v>427</v>
      </c>
      <c r="N240" s="24"/>
    </row>
    <row r="241" spans="1:14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4" t="s">
        <v>428</v>
      </c>
      <c r="N24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Guidelines</vt:lpstr>
      <vt:lpstr>Audit Description</vt:lpstr>
      <vt:lpstr>Dashboard</vt:lpstr>
      <vt:lpstr>Account_Profile_Audit</vt:lpstr>
      <vt:lpstr>Country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Hemanraj Mani</cp:lastModifiedBy>
  <dcterms:created xsi:type="dcterms:W3CDTF">2023-05-19T08:13:13Z</dcterms:created>
  <dcterms:modified xsi:type="dcterms:W3CDTF">2026-05-07T15:18:37Z</dcterms:modified>
</cp:coreProperties>
</file>